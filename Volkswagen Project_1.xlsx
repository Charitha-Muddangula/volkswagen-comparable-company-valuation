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253d5ff64348c0/Documents/"/>
    </mc:Choice>
  </mc:AlternateContent>
  <xr:revisionPtr revIDLastSave="350" documentId="8_{D8BDBF80-4EAD-4FAC-A37E-37566FD6D53C}" xr6:coauthVersionLast="47" xr6:coauthVersionMax="47" xr10:uidLastSave="{89698E0C-337A-419F-92DF-F4E956BE3B61}"/>
  <bookViews>
    <workbookView xWindow="-108" yWindow="-108" windowWidth="23256" windowHeight="12456" firstSheet="12" activeTab="14" xr2:uid="{80A2E83A-CB77-4C12-B3A9-7AD9525C5D9A}"/>
  </bookViews>
  <sheets>
    <sheet name="Cover page" sheetId="1" r:id="rId1"/>
    <sheet name="Data source" sheetId="18" r:id="rId2"/>
    <sheet name="Investment summary" sheetId="2" r:id="rId3"/>
    <sheet name="Company overview" sheetId="4" r:id="rId4"/>
    <sheet name="Comparable company selection" sheetId="5" r:id="rId5"/>
    <sheet name="Financial performance" sheetId="6" r:id="rId6"/>
    <sheet name="Market Data" sheetId="7" r:id="rId7"/>
    <sheet name="Capital structure" sheetId="8" r:id="rId8"/>
    <sheet name="EV calculation" sheetId="9" r:id="rId9"/>
    <sheet name="Peer mutliples" sheetId="11" r:id="rId10"/>
    <sheet name="Trading mutliples" sheetId="10" r:id="rId11"/>
    <sheet name="MUTLIPLES CAHRT" sheetId="16" r:id="rId12"/>
    <sheet name="Equity value" sheetId="13" r:id="rId13"/>
    <sheet name="Implied valuation" sheetId="12" r:id="rId14"/>
    <sheet name="Valuation Range" sheetId="14" r:id="rId15"/>
    <sheet name="Sensitivity Analysis" sheetId="15" r:id="rId16"/>
    <sheet name="INVESTMENT THESIS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0" l="1"/>
  <c r="C6" i="12"/>
  <c r="C5" i="12"/>
  <c r="C4" i="12"/>
  <c r="D4" i="12" s="1"/>
  <c r="I34" i="6"/>
  <c r="I33" i="6"/>
  <c r="I32" i="6"/>
  <c r="I27" i="6"/>
  <c r="I26" i="6"/>
  <c r="I25" i="6"/>
  <c r="I20" i="6"/>
  <c r="I19" i="6"/>
  <c r="I18" i="6"/>
  <c r="C5" i="9"/>
  <c r="C6" i="9"/>
  <c r="C7" i="9"/>
  <c r="B6" i="9"/>
  <c r="B7" i="9"/>
  <c r="B4" i="9"/>
  <c r="D5" i="8"/>
  <c r="D6" i="8"/>
  <c r="D7" i="8"/>
  <c r="D4" i="8"/>
  <c r="C4" i="9" s="1"/>
  <c r="D4" i="9" s="1"/>
  <c r="B4" i="10" s="1"/>
  <c r="D5" i="7"/>
  <c r="B5" i="9" s="1"/>
  <c r="D6" i="7"/>
  <c r="D7" i="7"/>
  <c r="D4" i="7"/>
  <c r="B13" i="6"/>
  <c r="B12" i="6"/>
  <c r="B11" i="6"/>
  <c r="D7" i="9" l="1"/>
  <c r="D6" i="9"/>
  <c r="D7" i="10"/>
  <c r="D5" i="10"/>
  <c r="C6" i="10"/>
  <c r="D6" i="10"/>
  <c r="C4" i="14"/>
  <c r="B4" i="14" s="1"/>
  <c r="D5" i="9"/>
  <c r="B5" i="10" s="1"/>
  <c r="B6" i="11" s="1"/>
  <c r="C5" i="10"/>
  <c r="C5" i="11" s="1"/>
  <c r="B6" i="10"/>
  <c r="B7" i="10"/>
  <c r="D4" i="11"/>
  <c r="C4" i="10"/>
  <c r="D4" i="10"/>
  <c r="D5" i="11"/>
  <c r="D6" i="11"/>
  <c r="D7" i="11"/>
  <c r="B6" i="12" s="1"/>
  <c r="D6" i="12" s="1"/>
  <c r="C6" i="14" s="1"/>
  <c r="B6" i="14" s="1"/>
  <c r="C7" i="11" l="1"/>
  <c r="B5" i="12" s="1"/>
  <c r="D5" i="12" s="1"/>
  <c r="C5" i="14" s="1"/>
  <c r="B5" i="14" s="1"/>
  <c r="B5" i="11"/>
  <c r="B4" i="11"/>
  <c r="C4" i="11"/>
  <c r="B7" i="11"/>
  <c r="C6" i="11"/>
</calcChain>
</file>

<file path=xl/sharedStrings.xml><?xml version="1.0" encoding="utf-8"?>
<sst xmlns="http://schemas.openxmlformats.org/spreadsheetml/2006/main" count="239" uniqueCount="138">
  <si>
    <t>Project Title</t>
  </si>
  <si>
    <t>Comparable Company Valuation</t>
  </si>
  <si>
    <t>Target Company</t>
  </si>
  <si>
    <t>Volkswagen AG</t>
  </si>
  <si>
    <t>Prepared by</t>
  </si>
  <si>
    <t>Date</t>
  </si>
  <si>
    <t>Valuation Method</t>
  </si>
  <si>
    <t>Comparable Company Analysis</t>
  </si>
  <si>
    <t>Muddangula Charitha</t>
  </si>
  <si>
    <t>Item</t>
  </si>
  <si>
    <t>Value</t>
  </si>
  <si>
    <t>Industry</t>
  </si>
  <si>
    <t>Global Automotive</t>
  </si>
  <si>
    <t>Trading Comparables</t>
  </si>
  <si>
    <t>Current Price</t>
  </si>
  <si>
    <t>Implied Fair Value</t>
  </si>
  <si>
    <t>Upside</t>
  </si>
  <si>
    <t>75–100%</t>
  </si>
  <si>
    <t>Recommendation</t>
  </si>
  <si>
    <t>BUY</t>
  </si>
  <si>
    <t>Investment Summary</t>
  </si>
  <si>
    <t>LOGO</t>
  </si>
  <si>
    <t>Headquarters</t>
  </si>
  <si>
    <t>Wolfsburg</t>
  </si>
  <si>
    <t>Employees</t>
  </si>
  <si>
    <t>~670,000</t>
  </si>
  <si>
    <t>Brands</t>
  </si>
  <si>
    <t>VW, Audi, Porsche, Skoda</t>
  </si>
  <si>
    <t>Business Segments</t>
  </si>
  <si>
    <t>Passenger Cars, Commercial Vehicles</t>
  </si>
  <si>
    <t>Company Overview</t>
  </si>
  <si>
    <t>Company</t>
  </si>
  <si>
    <t>Country</t>
  </si>
  <si>
    <t>Reason for Inclusion</t>
  </si>
  <si>
    <t>BMW AG</t>
  </si>
  <si>
    <t>Germany</t>
  </si>
  <si>
    <t>Premium segment</t>
  </si>
  <si>
    <t>Mercedes-Benz Group AG</t>
  </si>
  <si>
    <t>Comparable margins</t>
  </si>
  <si>
    <t>Ford Motor Company</t>
  </si>
  <si>
    <t>USA</t>
  </si>
  <si>
    <t>Mass market OEM</t>
  </si>
  <si>
    <t>Peers selected based on</t>
  </si>
  <si>
    <t>Comparable Company Selection</t>
  </si>
  <si>
    <t>Share Price</t>
  </si>
  <si>
    <t>Shares</t>
  </si>
  <si>
    <t>Market Cap</t>
  </si>
  <si>
    <t>Volkswagen</t>
  </si>
  <si>
    <t>BMW</t>
  </si>
  <si>
    <t>Mercedes</t>
  </si>
  <si>
    <t>Ford</t>
  </si>
  <si>
    <t>Market Data</t>
  </si>
  <si>
    <t>Debt</t>
  </si>
  <si>
    <t>Cash</t>
  </si>
  <si>
    <t>Net Debt</t>
  </si>
  <si>
    <t>Capital Structure</t>
  </si>
  <si>
    <t>Enterprise Value</t>
  </si>
  <si>
    <t>Enterprise Value Calculation</t>
  </si>
  <si>
    <t>EV/Revenue</t>
  </si>
  <si>
    <t>EV/EBITDA</t>
  </si>
  <si>
    <t>EV/EBIT</t>
  </si>
  <si>
    <t>Trading Multiples</t>
  </si>
  <si>
    <t>Metric</t>
  </si>
  <si>
    <t>Min</t>
  </si>
  <si>
    <t>Max</t>
  </si>
  <si>
    <t>Mean</t>
  </si>
  <si>
    <t>Median</t>
  </si>
  <si>
    <t>Peer Multiples Statistics</t>
  </si>
  <si>
    <t>Method</t>
  </si>
  <si>
    <t>Multiple</t>
  </si>
  <si>
    <t>Implied EV</t>
  </si>
  <si>
    <t>Implied Valuation</t>
  </si>
  <si>
    <t>Equity Value</t>
  </si>
  <si>
    <t>Implied Share Price</t>
  </si>
  <si>
    <t>Equity Value Bridge</t>
  </si>
  <si>
    <t>Price</t>
  </si>
  <si>
    <t>Valuation Range</t>
  </si>
  <si>
    <t>EBITDA Multiple</t>
  </si>
  <si>
    <t>5x</t>
  </si>
  <si>
    <t>6x</t>
  </si>
  <si>
    <t>7x</t>
  </si>
  <si>
    <t>Sensitivity Analysis</t>
  </si>
  <si>
    <t>Year</t>
  </si>
  <si>
    <t>Revenue (€ million)</t>
  </si>
  <si>
    <t>EBITDA (€ million)</t>
  </si>
  <si>
    <t>EBIT (€ million)</t>
  </si>
  <si>
    <t>Net Income (€ million)</t>
  </si>
  <si>
    <t>Historical Financial Performance</t>
  </si>
  <si>
    <t>Revenue CAGR</t>
  </si>
  <si>
    <t>EBITDA Margin</t>
  </si>
  <si>
    <t>EBIT Margin</t>
  </si>
  <si>
    <t>Mercedes-Benz Group</t>
  </si>
  <si>
    <t>Revenue ($ million)</t>
  </si>
  <si>
    <t>EBITDA ($ million)</t>
  </si>
  <si>
    <t>EBIT ($ million)</t>
  </si>
  <si>
    <t>Net Income ($ million)</t>
  </si>
  <si>
    <t>FORD</t>
  </si>
  <si>
    <t>VALUE</t>
  </si>
  <si>
    <t>Share Price (€)</t>
  </si>
  <si>
    <t>EV/EBITDA MUTLIPLES</t>
  </si>
  <si>
    <t>INVESTMENT THESIS</t>
  </si>
  <si>
    <t>Currency:</t>
  </si>
  <si>
    <t>EUR (MILLIONS)</t>
  </si>
  <si>
    <t>Data Source:</t>
  </si>
  <si>
    <t>LOGO:</t>
  </si>
  <si>
    <t>200-230</t>
  </si>
  <si>
    <t>Volkswagen trades at a discount to peer median EV/EBITDA, indicating potential undervaluation.</t>
  </si>
  <si>
    <t>“Peers selected include Toyota, BMW, Mercedes-Benz, and Ford based on industry similarity, scale, and operating profile.”</t>
  </si>
  <si>
    <t>(IN MILLONS)</t>
  </si>
  <si>
    <t>Volkswagen trades at ~4.1x EV/EBITDA, below peer median of ~5.5x.</t>
  </si>
  <si>
    <t>This suggests a ~25% valuation discount.</t>
  </si>
  <si>
    <t>Despite concerns around EV transition and capital intensity, strong brands such as Audi and Porsche support long-term profitability.</t>
  </si>
  <si>
    <t>Based on peer multiples, fair value is estimated at €200–€220, implying upside potential.</t>
  </si>
  <si>
    <t>Recommendation: BUY</t>
  </si>
  <si>
    <t>Global scale</t>
  </si>
  <si>
    <t>Similar revenue range</t>
  </si>
  <si>
    <t>Comparable operating margins</t>
  </si>
  <si>
    <t>Exposure to passenger vehicle segment</t>
  </si>
  <si>
    <t>Company Annual Reports</t>
  </si>
  <si>
    <t>Investor Presentations</t>
  </si>
  <si>
    <t xml:space="preserve"> Yahoo Finance</t>
  </si>
  <si>
    <t>“Volkswagen AG trades at the lowest EV/EBITDA multiple among peers, indicating potential undervaluation.”</t>
  </si>
  <si>
    <t>Sources:</t>
  </si>
  <si>
    <t>Yahoo Finance</t>
  </si>
  <si>
    <t>Data Sources</t>
  </si>
  <si>
    <t>Risks</t>
  </si>
  <si>
    <t>Volkswagen faces high capital expenditure requirements for electric vehicle expansion, which may pressure short-term profitability and margins.</t>
  </si>
  <si>
    <t>Compared to premium peers, Volkswagen operates at relatively lower margins due to its mass-market positioning and cost structure.</t>
  </si>
  <si>
    <t>The automotive industry is highly cyclical, and demand is sensitive to economic conditions, interest rates, and consumer spending.</t>
  </si>
  <si>
    <t>Strict emission regulations and ESG compliance requirements, particularly in Europe, may increase operating costs and impact profitability.</t>
  </si>
  <si>
    <t>Significant investments in manufacturing, R&amp;D, and EV infrastructure lead to high capital requirements and financial risk.</t>
  </si>
  <si>
    <t>The valuation is dependent on peer multiples, which may fluctuate based on market conditions, potentially affecting the implied fair value.</t>
  </si>
  <si>
    <r>
      <t xml:space="preserve">• </t>
    </r>
    <r>
      <rPr>
        <b/>
        <sz val="11"/>
        <color theme="1"/>
        <rFont val="Times New Roman"/>
        <family val="1"/>
      </rPr>
      <t>EV Transition Risk</t>
    </r>
  </si>
  <si>
    <r>
      <t xml:space="preserve">• </t>
    </r>
    <r>
      <rPr>
        <b/>
        <sz val="11"/>
        <color theme="1"/>
        <rFont val="Times New Roman"/>
        <family val="1"/>
      </rPr>
      <t>Margin Pressure Risk</t>
    </r>
  </si>
  <si>
    <r>
      <t xml:space="preserve">• </t>
    </r>
    <r>
      <rPr>
        <b/>
        <sz val="11"/>
        <color theme="1"/>
        <rFont val="Times New Roman"/>
        <family val="1"/>
      </rPr>
      <t>Cyclical Demand Risk</t>
    </r>
  </si>
  <si>
    <r>
      <t xml:space="preserve">• </t>
    </r>
    <r>
      <rPr>
        <b/>
        <sz val="11"/>
        <color theme="1"/>
        <rFont val="Times New Roman"/>
        <family val="1"/>
      </rPr>
      <t>Regulatory &amp; ESG Risk</t>
    </r>
  </si>
  <si>
    <r>
      <t xml:space="preserve">• </t>
    </r>
    <r>
      <rPr>
        <b/>
        <sz val="11"/>
        <color theme="1"/>
        <rFont val="Times New Roman"/>
        <family val="1"/>
      </rPr>
      <t>High Capital Intensity Risk</t>
    </r>
  </si>
  <si>
    <r>
      <t xml:space="preserve">• </t>
    </r>
    <r>
      <rPr>
        <b/>
        <sz val="11"/>
        <color theme="1"/>
        <rFont val="Times New Roman"/>
        <family val="1"/>
      </rPr>
      <t>Valuation (Multiples) Risk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</si>
</sst>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;[Red]\-[$€-2]\ #,##0"/>
    <numFmt numFmtId="165" formatCode="0.0%"/>
    <numFmt numFmtId="166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sz val="12"/>
      <color theme="1"/>
      <name val="Aptos Narrow"/>
      <family val="2"/>
      <scheme val="minor"/>
    </font>
    <font>
      <b/>
      <sz val="14"/>
      <color rgb="FF002060"/>
      <name val="Times New Roman"/>
      <family val="1"/>
    </font>
    <font>
      <b/>
      <sz val="11"/>
      <color rgb="FF002060"/>
      <name val="Times New Roman"/>
      <family val="1"/>
    </font>
    <font>
      <b/>
      <sz val="12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5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0" borderId="0" xfId="0" applyFont="1" applyAlignment="1">
      <alignment horizontal="left"/>
    </xf>
    <xf numFmtId="2" fontId="3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1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0" fontId="4" fillId="0" borderId="0" xfId="1" applyNumberFormat="1" applyFont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4" fontId="4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horizontal="left" vertical="center" wrapText="1"/>
    </xf>
    <xf numFmtId="2" fontId="6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2" fontId="0" fillId="0" borderId="0" xfId="0" applyNumberFormat="1"/>
    <xf numFmtId="4" fontId="4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11" fillId="0" borderId="0" xfId="0" applyFont="1"/>
    <xf numFmtId="3" fontId="5" fillId="0" borderId="0" xfId="0" applyNumberFormat="1" applyFont="1" applyAlignment="1">
      <alignment horizontal="center" vertical="center" wrapText="1"/>
    </xf>
    <xf numFmtId="10" fontId="4" fillId="0" borderId="0" xfId="1" applyNumberFormat="1" applyFont="1" applyAlignment="1">
      <alignment horizontal="center" vertical="center"/>
    </xf>
    <xf numFmtId="10" fontId="5" fillId="0" borderId="0" xfId="1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9" fontId="0" fillId="0" borderId="0" xfId="1" applyFont="1" applyAlignment="1">
      <alignment horizontal="center"/>
    </xf>
    <xf numFmtId="0" fontId="4" fillId="0" borderId="0" xfId="0" applyFont="1" applyAlignment="1">
      <alignment horizontal="left" vertical="center" indent="1"/>
    </xf>
    <xf numFmtId="0" fontId="2" fillId="0" borderId="0" xfId="0" applyFont="1"/>
    <xf numFmtId="0" fontId="11" fillId="0" borderId="0" xfId="0" applyFont="1" applyAlignment="1">
      <alignment vertical="center"/>
    </xf>
    <xf numFmtId="166" fontId="4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25</xdr:row>
      <xdr:rowOff>83820</xdr:rowOff>
    </xdr:from>
    <xdr:to>
      <xdr:col>4</xdr:col>
      <xdr:colOff>182880</xdr:colOff>
      <xdr:row>39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D406DF-BBC1-38F5-B3D4-90DBE84A5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4122420"/>
          <a:ext cx="2552700" cy="2552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8</xdr:row>
      <xdr:rowOff>99061</xdr:rowOff>
    </xdr:from>
    <xdr:to>
      <xdr:col>4</xdr:col>
      <xdr:colOff>264429</xdr:colOff>
      <xdr:row>22</xdr:row>
      <xdr:rowOff>83821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377882-D1AF-EFC3-569D-6247628BE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91641"/>
          <a:ext cx="3411489" cy="25450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1681-9174-4566-8630-C05E4850F5B9}">
  <dimension ref="A1:D26"/>
  <sheetViews>
    <sheetView workbookViewId="0">
      <selection activeCell="F13" sqref="F13"/>
    </sheetView>
  </sheetViews>
  <sheetFormatPr defaultRowHeight="14.4" x14ac:dyDescent="0.3"/>
  <cols>
    <col min="2" max="2" width="10.6640625" bestFit="1" customWidth="1"/>
  </cols>
  <sheetData>
    <row r="1" spans="1:4" ht="15.6" x14ac:dyDescent="0.3">
      <c r="A1" s="6" t="s">
        <v>0</v>
      </c>
      <c r="B1" s="6"/>
      <c r="C1" s="4"/>
      <c r="D1" s="4"/>
    </row>
    <row r="2" spans="1:4" ht="15.6" x14ac:dyDescent="0.3">
      <c r="A2" s="4" t="s">
        <v>1</v>
      </c>
      <c r="B2" s="4"/>
      <c r="C2" s="4"/>
      <c r="D2" s="4"/>
    </row>
    <row r="3" spans="1:4" ht="15.6" x14ac:dyDescent="0.3">
      <c r="A3" s="4"/>
      <c r="B3" s="4"/>
      <c r="C3" s="4"/>
      <c r="D3" s="4"/>
    </row>
    <row r="4" spans="1:4" ht="15.6" x14ac:dyDescent="0.3">
      <c r="A4" s="6" t="s">
        <v>2</v>
      </c>
      <c r="B4" s="6"/>
      <c r="C4" s="4"/>
      <c r="D4" s="4"/>
    </row>
    <row r="5" spans="1:4" ht="15.6" x14ac:dyDescent="0.3">
      <c r="A5" s="4" t="s">
        <v>3</v>
      </c>
      <c r="B5" s="4"/>
      <c r="C5" s="4"/>
      <c r="D5" s="4"/>
    </row>
    <row r="6" spans="1:4" ht="15.6" x14ac:dyDescent="0.3">
      <c r="A6" s="4"/>
      <c r="B6" s="4"/>
      <c r="C6" s="4"/>
      <c r="D6" s="4"/>
    </row>
    <row r="7" spans="1:4" ht="15.6" x14ac:dyDescent="0.3">
      <c r="A7" s="6" t="s">
        <v>4</v>
      </c>
      <c r="B7" s="6"/>
      <c r="C7" s="4"/>
      <c r="D7" s="4"/>
    </row>
    <row r="8" spans="1:4" ht="15.6" x14ac:dyDescent="0.3">
      <c r="A8" s="4" t="s">
        <v>8</v>
      </c>
      <c r="B8" s="4"/>
      <c r="C8" s="4"/>
      <c r="D8" s="4"/>
    </row>
    <row r="9" spans="1:4" ht="15.6" x14ac:dyDescent="0.3">
      <c r="A9" s="4"/>
      <c r="B9" s="4"/>
      <c r="C9" s="4"/>
      <c r="D9" s="4"/>
    </row>
    <row r="10" spans="1:4" ht="15.6" x14ac:dyDescent="0.3">
      <c r="A10" s="6" t="s">
        <v>5</v>
      </c>
      <c r="B10" s="5">
        <v>46087</v>
      </c>
      <c r="C10" s="4"/>
      <c r="D10" s="4"/>
    </row>
    <row r="11" spans="1:4" ht="15.6" x14ac:dyDescent="0.3">
      <c r="A11" s="4"/>
      <c r="B11" s="4"/>
      <c r="C11" s="4"/>
      <c r="D11" s="4"/>
    </row>
    <row r="12" spans="1:4" ht="15.6" x14ac:dyDescent="0.3">
      <c r="A12" s="6" t="s">
        <v>6</v>
      </c>
      <c r="B12" s="6"/>
      <c r="C12" s="4"/>
      <c r="D12" s="4"/>
    </row>
    <row r="13" spans="1:4" ht="15.6" x14ac:dyDescent="0.3">
      <c r="A13" s="4" t="s">
        <v>7</v>
      </c>
      <c r="B13" s="4"/>
      <c r="C13" s="4"/>
      <c r="D13" s="4"/>
    </row>
    <row r="15" spans="1:4" ht="15.6" x14ac:dyDescent="0.3">
      <c r="A15" s="13" t="s">
        <v>101</v>
      </c>
      <c r="B15" s="2"/>
      <c r="C15" s="2"/>
      <c r="D15" s="2"/>
    </row>
    <row r="16" spans="1:4" ht="15.6" x14ac:dyDescent="0.3">
      <c r="A16" s="2" t="s">
        <v>102</v>
      </c>
      <c r="B16" s="2"/>
      <c r="C16" s="2"/>
      <c r="D16" s="2"/>
    </row>
    <row r="17" spans="1:4" ht="15.6" x14ac:dyDescent="0.3">
      <c r="A17" s="2"/>
      <c r="B17" s="2"/>
      <c r="C17" s="2"/>
      <c r="D17" s="2"/>
    </row>
    <row r="18" spans="1:4" ht="15.6" hidden="1" x14ac:dyDescent="0.3">
      <c r="A18" s="13" t="s">
        <v>21</v>
      </c>
      <c r="B18" s="2"/>
      <c r="C18" s="2"/>
      <c r="D18" s="2"/>
    </row>
    <row r="19" spans="1:4" ht="15.6" x14ac:dyDescent="0.3">
      <c r="A19" s="13" t="s">
        <v>103</v>
      </c>
      <c r="B19" s="13"/>
      <c r="C19" s="2"/>
      <c r="D19" s="2"/>
    </row>
    <row r="20" spans="1:4" ht="15.6" x14ac:dyDescent="0.3">
      <c r="A20" s="2" t="s">
        <v>118</v>
      </c>
      <c r="B20" s="2"/>
      <c r="C20" s="2"/>
      <c r="D20" s="2"/>
    </row>
    <row r="21" spans="1:4" ht="15.6" x14ac:dyDescent="0.3">
      <c r="A21" s="2" t="s">
        <v>119</v>
      </c>
      <c r="B21" s="2"/>
      <c r="C21" s="2"/>
      <c r="D21" s="2"/>
    </row>
    <row r="22" spans="1:4" ht="15.6" x14ac:dyDescent="0.3">
      <c r="A22" s="2" t="s">
        <v>120</v>
      </c>
      <c r="B22" s="2"/>
      <c r="C22" s="2"/>
      <c r="D22" s="2"/>
    </row>
    <row r="23" spans="1:4" ht="15.6" x14ac:dyDescent="0.3">
      <c r="A23" s="2"/>
      <c r="B23" s="2"/>
      <c r="C23" s="2"/>
      <c r="D23" s="2"/>
    </row>
    <row r="24" spans="1:4" ht="15.6" x14ac:dyDescent="0.3">
      <c r="A24" s="2"/>
      <c r="B24" s="2"/>
      <c r="C24" s="2"/>
      <c r="D24" s="2"/>
    </row>
    <row r="25" spans="1:4" ht="15.6" x14ac:dyDescent="0.3">
      <c r="A25" s="13" t="s">
        <v>104</v>
      </c>
      <c r="B25" s="2"/>
      <c r="C25" s="2"/>
      <c r="D25" s="2"/>
    </row>
    <row r="26" spans="1:4" ht="15.6" x14ac:dyDescent="0.3">
      <c r="A26" s="18"/>
      <c r="B26" s="18"/>
      <c r="C26" s="18"/>
      <c r="D26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14D0-797E-46D9-A9AE-96B4D48E026E}">
  <dimension ref="A1:D8"/>
  <sheetViews>
    <sheetView workbookViewId="0">
      <selection activeCell="F11" sqref="F11"/>
    </sheetView>
  </sheetViews>
  <sheetFormatPr defaultRowHeight="14.4" x14ac:dyDescent="0.3"/>
  <sheetData>
    <row r="1" spans="1:4" ht="15.6" x14ac:dyDescent="0.3">
      <c r="A1" s="13" t="s">
        <v>124</v>
      </c>
      <c r="B1" s="13"/>
      <c r="C1" s="2"/>
      <c r="D1" s="2"/>
    </row>
    <row r="2" spans="1:4" ht="15.6" x14ac:dyDescent="0.3">
      <c r="A2" s="2"/>
      <c r="B2" s="2"/>
      <c r="C2" s="2"/>
      <c r="D2" s="2"/>
    </row>
    <row r="3" spans="1:4" ht="15.6" x14ac:dyDescent="0.3">
      <c r="A3" s="13" t="s">
        <v>122</v>
      </c>
      <c r="B3" s="2"/>
      <c r="C3" s="2"/>
      <c r="D3" s="2"/>
    </row>
    <row r="4" spans="1:4" ht="15.6" x14ac:dyDescent="0.3">
      <c r="A4" s="62"/>
      <c r="B4" s="2"/>
      <c r="C4" s="2"/>
      <c r="D4" s="2"/>
    </row>
    <row r="5" spans="1:4" ht="15.6" x14ac:dyDescent="0.3">
      <c r="A5" s="62" t="s">
        <v>118</v>
      </c>
      <c r="B5" s="2"/>
      <c r="C5" s="2"/>
      <c r="D5" s="2"/>
    </row>
    <row r="6" spans="1:4" ht="15.6" x14ac:dyDescent="0.3">
      <c r="A6" s="62" t="s">
        <v>119</v>
      </c>
      <c r="B6" s="2"/>
      <c r="C6" s="2"/>
      <c r="D6" s="2"/>
    </row>
    <row r="7" spans="1:4" ht="15.6" x14ac:dyDescent="0.3">
      <c r="A7" s="62" t="s">
        <v>123</v>
      </c>
      <c r="B7" s="2"/>
      <c r="C7" s="2"/>
      <c r="D7" s="2"/>
    </row>
    <row r="8" spans="1:4" ht="15.6" x14ac:dyDescent="0.3">
      <c r="A8" s="2"/>
      <c r="B8" s="2"/>
      <c r="C8" s="2"/>
      <c r="D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EF37-E5ED-49A3-B756-6FAE19D139E2}">
  <dimension ref="A1:H20"/>
  <sheetViews>
    <sheetView workbookViewId="0">
      <selection activeCell="H8" sqref="H8"/>
    </sheetView>
  </sheetViews>
  <sheetFormatPr defaultRowHeight="14.4" x14ac:dyDescent="0.3"/>
  <cols>
    <col min="1" max="1" width="39.5546875" customWidth="1"/>
    <col min="2" max="2" width="29.44140625" customWidth="1"/>
  </cols>
  <sheetData>
    <row r="1" spans="1:8" ht="17.399999999999999" x14ac:dyDescent="0.3">
      <c r="A1" s="12" t="s">
        <v>20</v>
      </c>
    </row>
    <row r="3" spans="1:8" ht="15.6" x14ac:dyDescent="0.3">
      <c r="A3" s="11" t="s">
        <v>9</v>
      </c>
      <c r="B3" s="11" t="s">
        <v>10</v>
      </c>
      <c r="C3" s="16"/>
    </row>
    <row r="4" spans="1:8" ht="15.6" x14ac:dyDescent="0.3">
      <c r="A4" s="9" t="s">
        <v>2</v>
      </c>
      <c r="B4" s="9" t="s">
        <v>3</v>
      </c>
      <c r="C4" s="16"/>
    </row>
    <row r="5" spans="1:8" ht="15.6" x14ac:dyDescent="0.3">
      <c r="A5" s="9" t="s">
        <v>11</v>
      </c>
      <c r="B5" s="9" t="s">
        <v>12</v>
      </c>
      <c r="C5" s="16"/>
    </row>
    <row r="6" spans="1:8" ht="15.6" x14ac:dyDescent="0.3">
      <c r="A6" s="9" t="s">
        <v>6</v>
      </c>
      <c r="B6" s="9" t="s">
        <v>13</v>
      </c>
      <c r="C6" s="16"/>
    </row>
    <row r="7" spans="1:8" ht="15.6" x14ac:dyDescent="0.3">
      <c r="A7" s="9" t="s">
        <v>14</v>
      </c>
      <c r="B7" s="10">
        <v>120</v>
      </c>
      <c r="C7" s="16"/>
    </row>
    <row r="8" spans="1:8" ht="15.6" x14ac:dyDescent="0.3">
      <c r="A8" s="9" t="s">
        <v>15</v>
      </c>
      <c r="B8" s="9" t="s">
        <v>105</v>
      </c>
      <c r="C8" s="16"/>
    </row>
    <row r="9" spans="1:8" ht="15.6" x14ac:dyDescent="0.3">
      <c r="A9" s="9" t="s">
        <v>16</v>
      </c>
      <c r="B9" s="9" t="s">
        <v>17</v>
      </c>
      <c r="C9" s="16"/>
    </row>
    <row r="10" spans="1:8" ht="15.6" x14ac:dyDescent="0.3">
      <c r="A10" s="9" t="s">
        <v>18</v>
      </c>
      <c r="B10" s="9" t="s">
        <v>19</v>
      </c>
      <c r="C10" s="16"/>
    </row>
    <row r="13" spans="1:8" ht="15.6" x14ac:dyDescent="0.3">
      <c r="A13" s="30" t="s">
        <v>106</v>
      </c>
      <c r="B13" s="30"/>
      <c r="C13" s="30"/>
      <c r="G13" s="11"/>
      <c r="H13" s="11"/>
    </row>
    <row r="14" spans="1:8" ht="15.6" x14ac:dyDescent="0.3">
      <c r="G14" s="9"/>
      <c r="H14" s="9"/>
    </row>
    <row r="15" spans="1:8" ht="15.6" x14ac:dyDescent="0.3">
      <c r="G15" s="9"/>
      <c r="H15" s="9"/>
    </row>
    <row r="16" spans="1:8" ht="15.6" x14ac:dyDescent="0.3">
      <c r="G16" s="9"/>
      <c r="H16" s="9"/>
    </row>
    <row r="17" spans="7:8" ht="15.6" x14ac:dyDescent="0.3">
      <c r="G17" s="9"/>
      <c r="H17" s="10"/>
    </row>
    <row r="18" spans="7:8" ht="15.6" x14ac:dyDescent="0.3">
      <c r="G18" s="9"/>
      <c r="H18" s="9"/>
    </row>
    <row r="19" spans="7:8" ht="15.6" x14ac:dyDescent="0.3">
      <c r="G19" s="9"/>
      <c r="H19" s="9"/>
    </row>
    <row r="20" spans="7:8" ht="15.6" x14ac:dyDescent="0.3">
      <c r="G20" s="9"/>
      <c r="H2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73FE-C6A3-4002-8625-46EA47E653EA}">
  <dimension ref="A1:C33"/>
  <sheetViews>
    <sheetView workbookViewId="0">
      <selection activeCell="H2" sqref="H2"/>
    </sheetView>
  </sheetViews>
  <sheetFormatPr defaultRowHeight="14.4" x14ac:dyDescent="0.3"/>
  <cols>
    <col min="1" max="1" width="29.44140625" customWidth="1"/>
    <col min="2" max="2" width="27.6640625" customWidth="1"/>
  </cols>
  <sheetData>
    <row r="1" spans="1:3" ht="17.399999999999999" x14ac:dyDescent="0.3">
      <c r="A1" s="12" t="s">
        <v>30</v>
      </c>
      <c r="B1" s="13"/>
    </row>
    <row r="2" spans="1:3" ht="15.6" x14ac:dyDescent="0.3">
      <c r="A2" s="2"/>
      <c r="B2" s="2"/>
    </row>
    <row r="3" spans="1:3" ht="15.6" x14ac:dyDescent="0.3">
      <c r="A3" s="11" t="s">
        <v>9</v>
      </c>
      <c r="B3" s="11" t="s">
        <v>10</v>
      </c>
      <c r="C3" s="25"/>
    </row>
    <row r="4" spans="1:3" ht="15.6" x14ac:dyDescent="0.3">
      <c r="A4" s="9"/>
      <c r="B4" s="9">
        <v>1937</v>
      </c>
      <c r="C4" s="25"/>
    </row>
    <row r="5" spans="1:3" ht="15.6" x14ac:dyDescent="0.3">
      <c r="A5" s="9" t="s">
        <v>22</v>
      </c>
      <c r="B5" s="9" t="s">
        <v>23</v>
      </c>
      <c r="C5" s="25"/>
    </row>
    <row r="6" spans="1:3" ht="15.6" x14ac:dyDescent="0.3">
      <c r="A6" s="9" t="s">
        <v>24</v>
      </c>
      <c r="B6" s="9" t="s">
        <v>25</v>
      </c>
      <c r="C6" s="25"/>
    </row>
    <row r="7" spans="1:3" ht="15.6" x14ac:dyDescent="0.3">
      <c r="A7" s="9" t="s">
        <v>26</v>
      </c>
      <c r="B7" s="9" t="s">
        <v>27</v>
      </c>
      <c r="C7" s="25"/>
    </row>
    <row r="8" spans="1:3" ht="31.2" x14ac:dyDescent="0.3">
      <c r="A8" s="9" t="s">
        <v>28</v>
      </c>
      <c r="B8" s="9" t="s">
        <v>29</v>
      </c>
      <c r="C8" s="25"/>
    </row>
    <row r="11" spans="1:3" ht="15.6" x14ac:dyDescent="0.3">
      <c r="A11" s="50" t="s">
        <v>3</v>
      </c>
    </row>
    <row r="12" spans="1:3" ht="15.6" x14ac:dyDescent="0.3">
      <c r="A12" s="11" t="s">
        <v>62</v>
      </c>
      <c r="B12" s="11" t="s">
        <v>10</v>
      </c>
    </row>
    <row r="13" spans="1:3" ht="15.6" x14ac:dyDescent="0.3">
      <c r="A13" s="9" t="s">
        <v>88</v>
      </c>
      <c r="B13" s="40">
        <v>9.0700000000000003E-2</v>
      </c>
    </row>
    <row r="14" spans="1:3" ht="15.6" x14ac:dyDescent="0.3">
      <c r="A14" s="9" t="s">
        <v>89</v>
      </c>
      <c r="B14" s="40">
        <v>0.14660000000000001</v>
      </c>
    </row>
    <row r="15" spans="1:3" ht="15.6" x14ac:dyDescent="0.3">
      <c r="A15" s="9" t="s">
        <v>90</v>
      </c>
      <c r="B15" s="40">
        <v>5.8700000000000002E-2</v>
      </c>
    </row>
    <row r="16" spans="1:3" x14ac:dyDescent="0.3">
      <c r="B16" s="61"/>
    </row>
    <row r="17" spans="1:2" ht="15.6" x14ac:dyDescent="0.3">
      <c r="A17" s="11" t="s">
        <v>48</v>
      </c>
    </row>
    <row r="18" spans="1:2" ht="15.6" x14ac:dyDescent="0.3">
      <c r="A18" s="11" t="s">
        <v>62</v>
      </c>
      <c r="B18" s="50" t="s">
        <v>97</v>
      </c>
    </row>
    <row r="19" spans="1:2" ht="15.6" x14ac:dyDescent="0.3">
      <c r="A19" s="9" t="s">
        <v>88</v>
      </c>
      <c r="B19" s="56">
        <v>1.6839</v>
      </c>
    </row>
    <row r="20" spans="1:2" ht="15.6" x14ac:dyDescent="0.3">
      <c r="A20" s="9" t="s">
        <v>89</v>
      </c>
      <c r="B20" s="56">
        <v>0.14180000000000001</v>
      </c>
    </row>
    <row r="21" spans="1:2" ht="15.6" x14ac:dyDescent="0.3">
      <c r="A21" s="9" t="s">
        <v>90</v>
      </c>
      <c r="B21" s="56">
        <v>8.1100000000000005E-2</v>
      </c>
    </row>
    <row r="23" spans="1:2" ht="15.6" x14ac:dyDescent="0.3">
      <c r="A23" s="50" t="s">
        <v>49</v>
      </c>
    </row>
    <row r="24" spans="1:2" ht="15.6" x14ac:dyDescent="0.3">
      <c r="A24" s="11" t="s">
        <v>62</v>
      </c>
      <c r="B24" s="50" t="s">
        <v>97</v>
      </c>
    </row>
    <row r="25" spans="1:2" ht="15.6" x14ac:dyDescent="0.3">
      <c r="A25" s="9" t="s">
        <v>88</v>
      </c>
      <c r="B25" s="56">
        <v>0.39810000000000001</v>
      </c>
    </row>
    <row r="26" spans="1:2" ht="15.6" x14ac:dyDescent="0.3">
      <c r="A26" s="9" t="s">
        <v>89</v>
      </c>
      <c r="B26" s="56">
        <v>0.1477</v>
      </c>
    </row>
    <row r="27" spans="1:2" ht="15.6" x14ac:dyDescent="0.3">
      <c r="A27" s="9" t="s">
        <v>90</v>
      </c>
      <c r="B27" s="56">
        <v>0.1012</v>
      </c>
    </row>
    <row r="29" spans="1:2" ht="15.6" x14ac:dyDescent="0.3">
      <c r="A29" s="50" t="s">
        <v>96</v>
      </c>
    </row>
    <row r="30" spans="1:2" ht="15.6" x14ac:dyDescent="0.3">
      <c r="A30" s="11" t="s">
        <v>62</v>
      </c>
      <c r="B30" s="50" t="s">
        <v>97</v>
      </c>
    </row>
    <row r="31" spans="1:2" ht="15.6" x14ac:dyDescent="0.3">
      <c r="A31" s="9" t="s">
        <v>88</v>
      </c>
      <c r="B31" s="53">
        <v>0.97099999999999997</v>
      </c>
    </row>
    <row r="32" spans="1:2" ht="15.6" x14ac:dyDescent="0.3">
      <c r="A32" s="51" t="s">
        <v>89</v>
      </c>
      <c r="B32" s="56">
        <v>1.9400000000000001E-2</v>
      </c>
    </row>
    <row r="33" spans="1:2" ht="15.6" x14ac:dyDescent="0.3">
      <c r="A33" s="9" t="s">
        <v>90</v>
      </c>
      <c r="B33" s="40">
        <v>-5.6099999999999997E-2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43AC-8779-41F7-91C6-28F5DCE29A4D}">
  <dimension ref="A1:G16"/>
  <sheetViews>
    <sheetView workbookViewId="0">
      <selection activeCell="B12" sqref="B12"/>
    </sheetView>
  </sheetViews>
  <sheetFormatPr defaultRowHeight="14.4" x14ac:dyDescent="0.3"/>
  <cols>
    <col min="1" max="1" width="27.44140625" customWidth="1"/>
    <col min="2" max="2" width="13.33203125" customWidth="1"/>
    <col min="3" max="3" width="21.44140625" customWidth="1"/>
  </cols>
  <sheetData>
    <row r="1" spans="1:7" ht="17.399999999999999" x14ac:dyDescent="0.3">
      <c r="A1" s="12" t="s">
        <v>43</v>
      </c>
      <c r="B1" s="12"/>
      <c r="C1" s="1"/>
    </row>
    <row r="2" spans="1:7" x14ac:dyDescent="0.3">
      <c r="A2" s="1"/>
      <c r="B2" s="1"/>
      <c r="C2" s="1"/>
    </row>
    <row r="3" spans="1:7" ht="31.2" x14ac:dyDescent="0.3">
      <c r="A3" s="11" t="s">
        <v>31</v>
      </c>
      <c r="B3" s="11" t="s">
        <v>32</v>
      </c>
      <c r="C3" s="11" t="s">
        <v>33</v>
      </c>
      <c r="D3" s="17"/>
    </row>
    <row r="4" spans="1:7" ht="31.2" x14ac:dyDescent="0.3">
      <c r="A4" s="9" t="s">
        <v>34</v>
      </c>
      <c r="B4" s="9" t="s">
        <v>35</v>
      </c>
      <c r="C4" s="9" t="s">
        <v>36</v>
      </c>
      <c r="D4" s="17"/>
    </row>
    <row r="5" spans="1:7" ht="31.2" x14ac:dyDescent="0.3">
      <c r="A5" s="9" t="s">
        <v>37</v>
      </c>
      <c r="B5" s="9" t="s">
        <v>35</v>
      </c>
      <c r="C5" s="9" t="s">
        <v>38</v>
      </c>
      <c r="D5" s="17"/>
    </row>
    <row r="6" spans="1:7" ht="31.2" x14ac:dyDescent="0.3">
      <c r="A6" s="9" t="s">
        <v>39</v>
      </c>
      <c r="B6" s="9" t="s">
        <v>40</v>
      </c>
      <c r="C6" s="9" t="s">
        <v>41</v>
      </c>
      <c r="D6" s="17"/>
    </row>
    <row r="7" spans="1:7" ht="15.6" x14ac:dyDescent="0.3">
      <c r="A7" s="2"/>
      <c r="B7" s="2"/>
      <c r="C7" s="2"/>
      <c r="D7" s="18"/>
    </row>
    <row r="8" spans="1:7" ht="15.6" x14ac:dyDescent="0.3">
      <c r="A8" s="2"/>
      <c r="B8" s="2"/>
      <c r="C8" s="2"/>
      <c r="D8" s="18"/>
    </row>
    <row r="9" spans="1:7" ht="15.6" x14ac:dyDescent="0.3">
      <c r="A9" s="6" t="s">
        <v>42</v>
      </c>
      <c r="B9" s="6"/>
      <c r="C9" s="2"/>
      <c r="D9" s="18"/>
    </row>
    <row r="10" spans="1:7" ht="15.6" x14ac:dyDescent="0.3">
      <c r="A10" s="4"/>
      <c r="B10" s="4"/>
      <c r="C10" s="2"/>
      <c r="D10" s="18"/>
    </row>
    <row r="11" spans="1:7" ht="15.6" x14ac:dyDescent="0.3">
      <c r="A11" s="4" t="s">
        <v>114</v>
      </c>
      <c r="B11" s="4"/>
      <c r="C11" s="2"/>
      <c r="D11" s="18"/>
    </row>
    <row r="12" spans="1:7" ht="15.6" x14ac:dyDescent="0.3">
      <c r="A12" s="4" t="s">
        <v>115</v>
      </c>
      <c r="B12" s="4"/>
      <c r="C12" s="2"/>
      <c r="D12" s="18"/>
    </row>
    <row r="13" spans="1:7" ht="15.6" x14ac:dyDescent="0.3">
      <c r="A13" s="4" t="s">
        <v>116</v>
      </c>
      <c r="B13" s="4"/>
      <c r="C13" s="2"/>
      <c r="D13" s="18"/>
    </row>
    <row r="14" spans="1:7" ht="15.6" x14ac:dyDescent="0.3">
      <c r="A14" s="4" t="s">
        <v>117</v>
      </c>
      <c r="B14" s="4"/>
      <c r="C14" s="2"/>
      <c r="D14" s="18"/>
    </row>
    <row r="16" spans="1:7" ht="15.6" x14ac:dyDescent="0.3">
      <c r="A16" s="2" t="s">
        <v>107</v>
      </c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2CE5-C27C-4AF0-A139-8D90D4AC7E3C}">
  <dimension ref="A1:L46"/>
  <sheetViews>
    <sheetView topLeftCell="A16" workbookViewId="0">
      <selection activeCell="B36" sqref="B36"/>
    </sheetView>
  </sheetViews>
  <sheetFormatPr defaultRowHeight="14.4" x14ac:dyDescent="0.3"/>
  <cols>
    <col min="1" max="1" width="22.77734375" customWidth="1"/>
    <col min="2" max="2" width="19.5546875" customWidth="1"/>
    <col min="3" max="3" width="20.88671875" customWidth="1"/>
    <col min="4" max="4" width="17.109375" customWidth="1"/>
    <col min="5" max="5" width="21.77734375" customWidth="1"/>
    <col min="8" max="8" width="18.6640625" customWidth="1"/>
    <col min="9" max="9" width="13.5546875" bestFit="1" customWidth="1"/>
  </cols>
  <sheetData>
    <row r="1" spans="1:10" ht="15.6" x14ac:dyDescent="0.3">
      <c r="A1" s="13" t="s">
        <v>87</v>
      </c>
      <c r="B1" s="13"/>
      <c r="C1" s="13"/>
      <c r="D1" s="2"/>
      <c r="E1" s="2"/>
      <c r="F1" s="2"/>
      <c r="G1" s="2"/>
      <c r="H1" s="2"/>
      <c r="I1" s="2"/>
    </row>
    <row r="2" spans="1:10" ht="15.6" x14ac:dyDescent="0.3">
      <c r="A2" s="6" t="s">
        <v>3</v>
      </c>
      <c r="B2" s="4"/>
      <c r="C2" s="2"/>
      <c r="D2" s="2"/>
      <c r="E2" s="2"/>
      <c r="F2" s="2"/>
      <c r="G2" s="2"/>
      <c r="H2" s="2"/>
      <c r="I2" s="2"/>
    </row>
    <row r="3" spans="1:10" ht="31.2" x14ac:dyDescent="0.3">
      <c r="A3" s="11" t="s">
        <v>82</v>
      </c>
      <c r="B3" s="11" t="s">
        <v>83</v>
      </c>
      <c r="C3" s="11" t="s">
        <v>84</v>
      </c>
      <c r="D3" s="11" t="s">
        <v>85</v>
      </c>
      <c r="E3" s="11" t="s">
        <v>86</v>
      </c>
      <c r="F3" s="3"/>
      <c r="G3" s="2"/>
      <c r="H3" s="11"/>
      <c r="I3" s="11"/>
    </row>
    <row r="4" spans="1:10" ht="15.6" x14ac:dyDescent="0.3">
      <c r="A4" s="9">
        <v>2021</v>
      </c>
      <c r="B4" s="35">
        <v>250200</v>
      </c>
      <c r="C4" s="35">
        <v>42000</v>
      </c>
      <c r="D4" s="35">
        <v>19275</v>
      </c>
      <c r="E4" s="35">
        <v>15428</v>
      </c>
      <c r="F4" s="3"/>
      <c r="G4" s="2"/>
      <c r="H4" s="9"/>
      <c r="I4" s="40"/>
    </row>
    <row r="5" spans="1:10" ht="15.6" x14ac:dyDescent="0.3">
      <c r="A5" s="9">
        <v>2022</v>
      </c>
      <c r="B5" s="35">
        <v>279232</v>
      </c>
      <c r="C5" s="35">
        <v>38300</v>
      </c>
      <c r="D5" s="35">
        <v>22124</v>
      </c>
      <c r="E5" s="35">
        <v>15836</v>
      </c>
      <c r="F5" s="3"/>
      <c r="G5" s="2"/>
      <c r="H5" s="9"/>
      <c r="I5" s="41"/>
    </row>
    <row r="6" spans="1:10" ht="15.6" x14ac:dyDescent="0.3">
      <c r="A6" s="9">
        <v>2023</v>
      </c>
      <c r="B6" s="35">
        <v>322284</v>
      </c>
      <c r="C6" s="35">
        <v>44600</v>
      </c>
      <c r="D6" s="35">
        <v>22528</v>
      </c>
      <c r="E6" s="35">
        <v>17861</v>
      </c>
      <c r="F6" s="3"/>
      <c r="G6" s="2"/>
      <c r="H6" s="9"/>
      <c r="I6" s="41"/>
    </row>
    <row r="7" spans="1:10" ht="15.6" x14ac:dyDescent="0.3">
      <c r="A7" s="9">
        <v>2024</v>
      </c>
      <c r="B7" s="35">
        <v>324656</v>
      </c>
      <c r="C7" s="35">
        <v>47600</v>
      </c>
      <c r="D7" s="35">
        <v>19060</v>
      </c>
      <c r="E7" s="35">
        <v>12394</v>
      </c>
      <c r="F7" s="3"/>
      <c r="G7" s="2"/>
      <c r="H7" s="30"/>
      <c r="I7" s="30"/>
    </row>
    <row r="8" spans="1:10" ht="15.6" x14ac:dyDescent="0.3">
      <c r="A8" s="3"/>
      <c r="B8" s="3"/>
      <c r="C8" s="3"/>
      <c r="D8" s="3"/>
      <c r="E8" s="3"/>
      <c r="F8" s="3"/>
      <c r="G8" s="2"/>
      <c r="H8" s="2"/>
      <c r="I8" s="2"/>
    </row>
    <row r="9" spans="1:10" ht="15.6" x14ac:dyDescent="0.3">
      <c r="A9" s="3"/>
      <c r="B9" s="3"/>
      <c r="C9" s="3"/>
      <c r="D9" s="3"/>
      <c r="E9" s="11"/>
      <c r="F9" s="11"/>
      <c r="G9" s="2"/>
      <c r="H9" s="2"/>
      <c r="I9" s="2"/>
    </row>
    <row r="10" spans="1:10" ht="15.6" x14ac:dyDescent="0.3">
      <c r="A10" s="11" t="s">
        <v>62</v>
      </c>
      <c r="B10" s="11" t="s">
        <v>10</v>
      </c>
      <c r="C10" s="3"/>
      <c r="D10" s="3"/>
      <c r="E10" s="9"/>
      <c r="F10" s="40"/>
      <c r="G10" s="2"/>
      <c r="H10" s="2"/>
      <c r="I10" s="2"/>
    </row>
    <row r="11" spans="1:10" ht="15.6" customHeight="1" x14ac:dyDescent="0.3">
      <c r="A11" s="9" t="s">
        <v>88</v>
      </c>
      <c r="B11" s="40">
        <f>(B7/B4)^(1/3)-1</f>
        <v>9.0716901012724449E-2</v>
      </c>
      <c r="C11" s="3"/>
      <c r="D11" s="3"/>
      <c r="E11" s="9"/>
      <c r="F11" s="41"/>
      <c r="G11" s="2"/>
      <c r="H11" s="2"/>
      <c r="I11" s="2"/>
    </row>
    <row r="12" spans="1:10" ht="15.6" x14ac:dyDescent="0.3">
      <c r="A12" s="9" t="s">
        <v>89</v>
      </c>
      <c r="B12" s="40">
        <f>C7/B7</f>
        <v>0.14661672662756886</v>
      </c>
      <c r="C12" s="3"/>
      <c r="D12" s="3"/>
      <c r="E12" s="9"/>
      <c r="F12" s="41"/>
      <c r="G12" s="2"/>
      <c r="H12" s="2"/>
      <c r="I12" s="2"/>
    </row>
    <row r="13" spans="1:10" ht="15.6" x14ac:dyDescent="0.3">
      <c r="A13" s="9" t="s">
        <v>90</v>
      </c>
      <c r="B13" s="40">
        <f>D7/B7</f>
        <v>5.8708294317677788E-2</v>
      </c>
      <c r="C13" s="3"/>
      <c r="D13" s="3"/>
      <c r="E13" s="30"/>
      <c r="F13" s="30"/>
      <c r="G13" s="2"/>
      <c r="H13" s="2"/>
      <c r="I13" s="2"/>
    </row>
    <row r="14" spans="1:10" ht="15.6" x14ac:dyDescent="0.3">
      <c r="A14" s="30"/>
      <c r="B14" s="30"/>
      <c r="C14" s="2"/>
      <c r="D14" s="2"/>
      <c r="E14" s="2"/>
      <c r="F14" s="2"/>
      <c r="G14" s="2"/>
      <c r="H14" s="2"/>
      <c r="I14" s="2"/>
    </row>
    <row r="15" spans="1:10" ht="15.6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10" ht="15.6" x14ac:dyDescent="0.3">
      <c r="A16" s="11" t="s">
        <v>48</v>
      </c>
      <c r="B16" s="51"/>
      <c r="C16" s="51"/>
      <c r="D16" s="51"/>
      <c r="E16" s="51"/>
      <c r="F16" s="51"/>
      <c r="G16" s="51"/>
      <c r="H16" s="51"/>
      <c r="I16" s="51"/>
      <c r="J16" s="52"/>
    </row>
    <row r="17" spans="1:12" ht="31.2" x14ac:dyDescent="0.3">
      <c r="A17" s="11" t="s">
        <v>82</v>
      </c>
      <c r="B17" s="11" t="s">
        <v>83</v>
      </c>
      <c r="C17" s="11" t="s">
        <v>84</v>
      </c>
      <c r="D17" s="11" t="s">
        <v>85</v>
      </c>
      <c r="E17" s="11" t="s">
        <v>86</v>
      </c>
      <c r="F17" s="51"/>
      <c r="G17" s="51"/>
      <c r="H17" s="11" t="s">
        <v>62</v>
      </c>
      <c r="I17" s="50" t="s">
        <v>97</v>
      </c>
      <c r="J17" s="52"/>
      <c r="K17" s="16"/>
      <c r="L17" s="16"/>
    </row>
    <row r="18" spans="1:12" ht="15.6" x14ac:dyDescent="0.3">
      <c r="A18" s="9">
        <v>2021</v>
      </c>
      <c r="B18" s="35">
        <v>111239</v>
      </c>
      <c r="C18" s="35">
        <v>22791</v>
      </c>
      <c r="D18" s="35">
        <v>16296</v>
      </c>
      <c r="E18" s="35">
        <v>12382</v>
      </c>
      <c r="F18" s="51"/>
      <c r="G18" s="51"/>
      <c r="H18" s="9" t="s">
        <v>88</v>
      </c>
      <c r="I18" s="56">
        <f>(B21/B18)^(1+3)-1</f>
        <v>1.6839081566492924</v>
      </c>
      <c r="J18" s="52"/>
      <c r="K18" s="16"/>
      <c r="L18" s="16"/>
    </row>
    <row r="19" spans="1:12" ht="15.6" x14ac:dyDescent="0.3">
      <c r="A19" s="9">
        <v>2022</v>
      </c>
      <c r="B19" s="35">
        <v>142610</v>
      </c>
      <c r="C19" s="35">
        <v>32305</v>
      </c>
      <c r="D19" s="35">
        <v>23739</v>
      </c>
      <c r="E19" s="35">
        <v>17941</v>
      </c>
      <c r="F19" s="51"/>
      <c r="G19" s="51"/>
      <c r="H19" s="9" t="s">
        <v>89</v>
      </c>
      <c r="I19" s="56">
        <f>C21/B21</f>
        <v>0.14183171793791263</v>
      </c>
      <c r="J19" s="52"/>
      <c r="K19" s="16"/>
      <c r="L19" s="16"/>
    </row>
    <row r="20" spans="1:12" ht="15.6" x14ac:dyDescent="0.3">
      <c r="A20" s="9">
        <v>2023</v>
      </c>
      <c r="B20" s="35">
        <v>155498</v>
      </c>
      <c r="C20" s="35">
        <v>26726</v>
      </c>
      <c r="D20" s="35">
        <v>17752</v>
      </c>
      <c r="E20" s="35">
        <v>11290</v>
      </c>
      <c r="F20" s="51"/>
      <c r="G20" s="51"/>
      <c r="H20" s="9" t="s">
        <v>90</v>
      </c>
      <c r="I20" s="56">
        <f>D21/B21</f>
        <v>8.1078803202697003E-2</v>
      </c>
      <c r="J20" s="52"/>
      <c r="K20" s="16"/>
      <c r="L20" s="16"/>
    </row>
    <row r="21" spans="1:12" ht="15.6" x14ac:dyDescent="0.3">
      <c r="A21" s="9">
        <v>2024</v>
      </c>
      <c r="B21" s="35">
        <v>142380</v>
      </c>
      <c r="C21" s="35">
        <v>20194</v>
      </c>
      <c r="D21" s="35">
        <v>11544</v>
      </c>
      <c r="E21" s="35">
        <v>7290</v>
      </c>
      <c r="F21" s="51"/>
      <c r="G21" s="51"/>
      <c r="H21" s="51"/>
      <c r="I21" s="51"/>
      <c r="J21" s="52"/>
      <c r="K21" s="42"/>
      <c r="L21" s="16"/>
    </row>
    <row r="22" spans="1:12" ht="15.6" x14ac:dyDescent="0.3">
      <c r="A22" s="51"/>
      <c r="B22" s="51"/>
      <c r="C22" s="51"/>
      <c r="D22" s="51"/>
      <c r="E22" s="51"/>
      <c r="F22" s="51"/>
      <c r="G22" s="51"/>
      <c r="H22" s="51"/>
      <c r="I22" s="51"/>
      <c r="J22" s="52"/>
    </row>
    <row r="23" spans="1:12" ht="15.6" x14ac:dyDescent="0.3">
      <c r="A23" s="50" t="s">
        <v>49</v>
      </c>
      <c r="B23" s="51"/>
      <c r="C23" s="51"/>
      <c r="D23" s="51"/>
      <c r="E23" s="51"/>
      <c r="F23" s="51"/>
      <c r="G23" s="51"/>
      <c r="H23" s="51"/>
      <c r="I23" s="51"/>
      <c r="J23" s="52"/>
    </row>
    <row r="24" spans="1:12" ht="31.2" x14ac:dyDescent="0.3">
      <c r="A24" s="11" t="s">
        <v>82</v>
      </c>
      <c r="B24" s="11" t="s">
        <v>83</v>
      </c>
      <c r="C24" s="11" t="s">
        <v>84</v>
      </c>
      <c r="D24" s="11" t="s">
        <v>85</v>
      </c>
      <c r="E24" s="11" t="s">
        <v>86</v>
      </c>
      <c r="F24" s="51"/>
      <c r="G24" s="51"/>
      <c r="H24" s="11" t="s">
        <v>62</v>
      </c>
      <c r="I24" s="50" t="s">
        <v>97</v>
      </c>
      <c r="J24" s="52"/>
    </row>
    <row r="25" spans="1:12" ht="15.6" x14ac:dyDescent="0.3">
      <c r="A25" s="9">
        <v>2021</v>
      </c>
      <c r="B25" s="35">
        <v>133893</v>
      </c>
      <c r="C25" s="35">
        <v>23220</v>
      </c>
      <c r="D25" s="35">
        <v>16240</v>
      </c>
      <c r="E25" s="35">
        <v>10660</v>
      </c>
      <c r="F25" s="51"/>
      <c r="G25" s="51"/>
      <c r="H25" s="9" t="s">
        <v>88</v>
      </c>
      <c r="I25" s="56">
        <f>(B28/B25)^(1+3)-1</f>
        <v>0.39811347555691601</v>
      </c>
      <c r="J25" s="52"/>
    </row>
    <row r="26" spans="1:12" ht="15.6" x14ac:dyDescent="0.3">
      <c r="A26" s="9">
        <v>2022</v>
      </c>
      <c r="B26" s="35">
        <v>150017</v>
      </c>
      <c r="C26" s="35">
        <v>27252</v>
      </c>
      <c r="D26" s="35">
        <v>20731</v>
      </c>
      <c r="E26" s="35">
        <v>14501</v>
      </c>
      <c r="F26" s="51"/>
      <c r="G26" s="51"/>
      <c r="H26" s="9" t="s">
        <v>89</v>
      </c>
      <c r="I26" s="56">
        <f>C28/B28</f>
        <v>0.14770526257950189</v>
      </c>
      <c r="J26" s="52"/>
    </row>
    <row r="27" spans="1:12" ht="15.6" x14ac:dyDescent="0.3">
      <c r="A27" s="9">
        <v>2023</v>
      </c>
      <c r="B27" s="35">
        <v>152390</v>
      </c>
      <c r="C27" s="35">
        <v>27438</v>
      </c>
      <c r="D27" s="35">
        <v>20775</v>
      </c>
      <c r="E27" s="35">
        <v>14261</v>
      </c>
      <c r="F27" s="51"/>
      <c r="G27" s="51"/>
      <c r="H27" s="9" t="s">
        <v>90</v>
      </c>
      <c r="I27" s="56">
        <f>D28/B28</f>
        <v>0.10119235682789125</v>
      </c>
      <c r="J27" s="52"/>
    </row>
    <row r="28" spans="1:12" ht="15.6" x14ac:dyDescent="0.3">
      <c r="A28" s="9">
        <v>2024</v>
      </c>
      <c r="B28" s="35">
        <v>145594</v>
      </c>
      <c r="C28" s="35">
        <v>21505</v>
      </c>
      <c r="D28" s="35">
        <v>14733</v>
      </c>
      <c r="E28" s="35">
        <v>10207</v>
      </c>
      <c r="F28" s="51"/>
      <c r="G28" s="51"/>
      <c r="H28" s="51"/>
      <c r="I28" s="58"/>
      <c r="J28" s="52"/>
    </row>
    <row r="29" spans="1:12" ht="15.6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2"/>
    </row>
    <row r="30" spans="1:12" ht="15.6" x14ac:dyDescent="0.3">
      <c r="A30" s="50" t="s">
        <v>96</v>
      </c>
      <c r="B30" s="51"/>
      <c r="C30" s="51"/>
      <c r="D30" s="51"/>
      <c r="E30" s="51"/>
      <c r="F30" s="51"/>
      <c r="G30" s="51"/>
      <c r="H30" s="51"/>
      <c r="I30" s="51"/>
      <c r="J30" s="52"/>
    </row>
    <row r="31" spans="1:12" ht="31.2" x14ac:dyDescent="0.3">
      <c r="A31" s="11" t="s">
        <v>82</v>
      </c>
      <c r="B31" s="11" t="s">
        <v>92</v>
      </c>
      <c r="C31" s="11" t="s">
        <v>93</v>
      </c>
      <c r="D31" s="11" t="s">
        <v>94</v>
      </c>
      <c r="E31" s="11" t="s">
        <v>95</v>
      </c>
      <c r="F31" s="51"/>
      <c r="G31" s="51"/>
      <c r="H31" s="11" t="s">
        <v>62</v>
      </c>
      <c r="I31" s="50" t="s">
        <v>97</v>
      </c>
      <c r="J31" s="52"/>
    </row>
    <row r="32" spans="1:12" ht="15.6" x14ac:dyDescent="0.3">
      <c r="A32" s="9">
        <v>2021</v>
      </c>
      <c r="B32" s="35">
        <v>158057</v>
      </c>
      <c r="C32" s="35">
        <v>4759</v>
      </c>
      <c r="D32" s="35">
        <v>-1734</v>
      </c>
      <c r="E32" s="35">
        <v>-1981</v>
      </c>
      <c r="F32" s="51"/>
      <c r="G32" s="51"/>
      <c r="H32" s="9" t="s">
        <v>88</v>
      </c>
      <c r="I32" s="53">
        <f>(B35/B32)^(1+3)-1</f>
        <v>0.97056186771551101</v>
      </c>
      <c r="J32" s="52"/>
    </row>
    <row r="33" spans="1:10" ht="15.6" x14ac:dyDescent="0.3">
      <c r="A33" s="9">
        <v>2022</v>
      </c>
      <c r="B33" s="35">
        <v>176191</v>
      </c>
      <c r="C33" s="35">
        <v>11808</v>
      </c>
      <c r="D33" s="35">
        <v>5285</v>
      </c>
      <c r="E33" s="35">
        <v>4347</v>
      </c>
      <c r="F33" s="50"/>
      <c r="G33" s="51"/>
      <c r="H33" s="51" t="s">
        <v>89</v>
      </c>
      <c r="I33" s="56">
        <f>C35/B35</f>
        <v>1.9426807713051417E-2</v>
      </c>
      <c r="J33" s="56"/>
    </row>
    <row r="34" spans="1:10" ht="15.6" x14ac:dyDescent="0.3">
      <c r="A34" s="9">
        <v>2023</v>
      </c>
      <c r="B34" s="35">
        <v>184992</v>
      </c>
      <c r="C34" s="35">
        <v>14236</v>
      </c>
      <c r="D34" s="35">
        <v>8369</v>
      </c>
      <c r="E34" s="35">
        <v>5879</v>
      </c>
      <c r="F34" s="11"/>
      <c r="G34" s="11"/>
      <c r="H34" s="9" t="s">
        <v>90</v>
      </c>
      <c r="I34" s="40">
        <f>D35/B35</f>
        <v>-5.6053656009868266E-2</v>
      </c>
      <c r="J34" s="57"/>
    </row>
    <row r="35" spans="1:10" ht="15.6" x14ac:dyDescent="0.3">
      <c r="A35" s="9">
        <v>2024</v>
      </c>
      <c r="B35" s="35">
        <v>187267</v>
      </c>
      <c r="C35" s="35">
        <v>3638</v>
      </c>
      <c r="D35" s="35">
        <v>-10497</v>
      </c>
      <c r="E35" s="35">
        <v>-8182</v>
      </c>
      <c r="F35" s="9"/>
      <c r="G35" s="35"/>
      <c r="H35" s="35"/>
      <c r="I35" s="35"/>
      <c r="J35" s="35"/>
    </row>
    <row r="36" spans="1:10" ht="15.6" x14ac:dyDescent="0.3">
      <c r="A36" s="51"/>
      <c r="B36" s="51"/>
      <c r="C36" s="51"/>
      <c r="D36" s="51"/>
      <c r="E36" s="51"/>
      <c r="F36" s="9"/>
      <c r="G36" s="35"/>
      <c r="H36" s="35"/>
      <c r="I36" s="35"/>
      <c r="J36" s="35"/>
    </row>
    <row r="37" spans="1:10" ht="15.6" x14ac:dyDescent="0.3">
      <c r="A37" s="50"/>
      <c r="B37" s="51"/>
      <c r="C37" s="51"/>
      <c r="D37" s="51"/>
      <c r="E37" s="51"/>
      <c r="F37" s="9"/>
      <c r="G37" s="35"/>
      <c r="H37" s="35"/>
      <c r="I37" s="35"/>
      <c r="J37" s="35"/>
    </row>
    <row r="38" spans="1:10" ht="15.6" x14ac:dyDescent="0.3">
      <c r="A38" s="11"/>
      <c r="B38" s="11"/>
      <c r="C38" s="11"/>
      <c r="D38" s="11"/>
      <c r="E38" s="11"/>
      <c r="F38" s="9"/>
      <c r="G38" s="35"/>
      <c r="H38" s="55"/>
      <c r="I38" s="55"/>
      <c r="J38" s="35"/>
    </row>
    <row r="39" spans="1:10" ht="15.6" x14ac:dyDescent="0.3">
      <c r="A39" s="9"/>
      <c r="B39" s="35"/>
      <c r="C39" s="35"/>
      <c r="D39" s="35"/>
      <c r="E39" s="35"/>
      <c r="F39" s="51"/>
      <c r="G39" s="51"/>
      <c r="H39" s="51"/>
      <c r="I39" s="56"/>
      <c r="J39" s="51"/>
    </row>
    <row r="40" spans="1:10" ht="15.6" x14ac:dyDescent="0.3">
      <c r="A40" s="9"/>
      <c r="B40" s="35"/>
      <c r="C40" s="35"/>
      <c r="D40" s="35"/>
      <c r="E40" s="35"/>
      <c r="F40" s="50"/>
      <c r="G40" s="51"/>
      <c r="H40" s="51"/>
      <c r="I40" s="56"/>
      <c r="J40" s="51"/>
    </row>
    <row r="41" spans="1:10" ht="15.6" x14ac:dyDescent="0.3">
      <c r="A41" s="9"/>
      <c r="B41" s="35"/>
      <c r="C41" s="35"/>
      <c r="D41" s="35"/>
      <c r="E41" s="35"/>
      <c r="F41" s="11"/>
      <c r="G41" s="11"/>
      <c r="H41" s="9"/>
      <c r="I41" s="40"/>
      <c r="J41" s="11"/>
    </row>
    <row r="42" spans="1:10" ht="15.6" x14ac:dyDescent="0.3">
      <c r="A42" s="9"/>
      <c r="B42" s="35"/>
      <c r="C42" s="35"/>
      <c r="D42" s="35"/>
      <c r="E42" s="35"/>
      <c r="F42" s="9"/>
      <c r="G42" s="35"/>
      <c r="H42" s="35"/>
      <c r="I42" s="40"/>
      <c r="J42" s="35"/>
    </row>
    <row r="43" spans="1:10" ht="15.6" x14ac:dyDescent="0.3">
      <c r="A43" s="51"/>
      <c r="B43" s="51"/>
      <c r="C43" s="51"/>
      <c r="D43" s="51"/>
      <c r="E43" s="51"/>
      <c r="F43" s="9"/>
      <c r="G43" s="35"/>
      <c r="H43" s="35"/>
      <c r="I43" s="35"/>
      <c r="J43" s="35"/>
    </row>
    <row r="44" spans="1:10" ht="15.6" x14ac:dyDescent="0.3">
      <c r="A44" s="51"/>
      <c r="B44" s="51"/>
      <c r="C44" s="51"/>
      <c r="D44" s="51"/>
      <c r="E44" s="51"/>
      <c r="F44" s="9"/>
      <c r="G44" s="35"/>
      <c r="H44" s="35"/>
      <c r="I44" s="35"/>
      <c r="J44" s="35"/>
    </row>
    <row r="45" spans="1:10" ht="15.6" x14ac:dyDescent="0.3">
      <c r="F45" s="9"/>
      <c r="G45" s="35"/>
      <c r="H45" s="35"/>
      <c r="I45" s="35"/>
      <c r="J45" s="35"/>
    </row>
    <row r="46" spans="1:10" ht="15.6" x14ac:dyDescent="0.3">
      <c r="F46" s="51"/>
      <c r="G46" s="51"/>
      <c r="H46" s="51"/>
      <c r="I46" s="51"/>
      <c r="J46" s="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0226-EDC8-44C6-83A0-D947F5B034A1}">
  <dimension ref="A1:D7"/>
  <sheetViews>
    <sheetView workbookViewId="0">
      <selection activeCell="C4" sqref="C4"/>
    </sheetView>
  </sheetViews>
  <sheetFormatPr defaultRowHeight="14.4" x14ac:dyDescent="0.3"/>
  <cols>
    <col min="1" max="2" width="12.109375" customWidth="1"/>
    <col min="3" max="3" width="11.5546875" customWidth="1"/>
    <col min="4" max="4" width="15.88671875" customWidth="1"/>
  </cols>
  <sheetData>
    <row r="1" spans="1:4" ht="17.399999999999999" x14ac:dyDescent="0.3">
      <c r="A1" s="12" t="s">
        <v>51</v>
      </c>
      <c r="B1" s="1"/>
      <c r="C1" s="1"/>
      <c r="D1" s="1"/>
    </row>
    <row r="2" spans="1:4" x14ac:dyDescent="0.3">
      <c r="A2" s="1"/>
      <c r="B2" s="1"/>
      <c r="C2" s="1"/>
      <c r="D2" s="1"/>
    </row>
    <row r="3" spans="1:4" ht="15.6" x14ac:dyDescent="0.3">
      <c r="A3" s="11" t="s">
        <v>31</v>
      </c>
      <c r="B3" s="11" t="s">
        <v>44</v>
      </c>
      <c r="C3" s="11" t="s">
        <v>45</v>
      </c>
      <c r="D3" s="11" t="s">
        <v>46</v>
      </c>
    </row>
    <row r="4" spans="1:4" x14ac:dyDescent="0.3">
      <c r="A4" s="14" t="s">
        <v>47</v>
      </c>
      <c r="B4" s="37">
        <v>92.8</v>
      </c>
      <c r="C4" s="14">
        <v>509.12</v>
      </c>
      <c r="D4" s="38">
        <f>B4*C4</f>
        <v>47246.335999999996</v>
      </c>
    </row>
    <row r="5" spans="1:4" x14ac:dyDescent="0.3">
      <c r="A5" s="14" t="s">
        <v>48</v>
      </c>
      <c r="B5" s="14">
        <v>81.42</v>
      </c>
      <c r="C5" s="14">
        <v>556.08000000000004</v>
      </c>
      <c r="D5" s="38">
        <f t="shared" ref="D5:D7" si="0">B5*C5</f>
        <v>45276.033600000002</v>
      </c>
    </row>
    <row r="6" spans="1:4" x14ac:dyDescent="0.3">
      <c r="A6" s="14" t="s">
        <v>49</v>
      </c>
      <c r="B6" s="14">
        <v>55.65</v>
      </c>
      <c r="C6" s="14">
        <v>884.84</v>
      </c>
      <c r="D6" s="38">
        <f t="shared" si="0"/>
        <v>49241.345999999998</v>
      </c>
    </row>
    <row r="7" spans="1:4" x14ac:dyDescent="0.3">
      <c r="A7" s="14" t="s">
        <v>50</v>
      </c>
      <c r="B7" s="14">
        <v>64.97</v>
      </c>
      <c r="C7" s="14">
        <v>3.92</v>
      </c>
      <c r="D7" s="38">
        <f t="shared" si="0"/>
        <v>254.6824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15CD-5E70-487A-9CCB-931C223FC771}">
  <dimension ref="A1:D8"/>
  <sheetViews>
    <sheetView workbookViewId="0">
      <selection activeCell="B9" sqref="B9"/>
    </sheetView>
  </sheetViews>
  <sheetFormatPr defaultRowHeight="14.4" x14ac:dyDescent="0.3"/>
  <cols>
    <col min="1" max="1" width="32.109375" customWidth="1"/>
    <col min="2" max="2" width="22.44140625" customWidth="1"/>
    <col min="3" max="3" width="20.88671875" customWidth="1"/>
    <col min="4" max="4" width="19.109375" customWidth="1"/>
  </cols>
  <sheetData>
    <row r="1" spans="1:4" ht="17.399999999999999" x14ac:dyDescent="0.3">
      <c r="A1" s="12" t="s">
        <v>55</v>
      </c>
      <c r="B1" s="24" t="s">
        <v>108</v>
      </c>
      <c r="C1" s="1"/>
      <c r="D1" s="1"/>
    </row>
    <row r="2" spans="1:4" x14ac:dyDescent="0.3">
      <c r="A2" s="1"/>
      <c r="B2" s="1"/>
      <c r="C2" s="1"/>
      <c r="D2" s="1"/>
    </row>
    <row r="3" spans="1:4" ht="15.6" x14ac:dyDescent="0.3">
      <c r="A3" s="11" t="s">
        <v>31</v>
      </c>
      <c r="B3" s="11" t="s">
        <v>52</v>
      </c>
      <c r="C3" s="11" t="s">
        <v>53</v>
      </c>
      <c r="D3" s="11" t="s">
        <v>54</v>
      </c>
    </row>
    <row r="4" spans="1:4" ht="15.6" x14ac:dyDescent="0.3">
      <c r="A4" s="9" t="s">
        <v>3</v>
      </c>
      <c r="B4" s="9">
        <v>196520</v>
      </c>
      <c r="C4" s="9">
        <v>47472</v>
      </c>
      <c r="D4" s="9">
        <f>B4-C4</f>
        <v>149048</v>
      </c>
    </row>
    <row r="5" spans="1:4" ht="15.6" x14ac:dyDescent="0.3">
      <c r="A5" s="9" t="s">
        <v>48</v>
      </c>
      <c r="B5" s="9">
        <v>85504</v>
      </c>
      <c r="C5" s="9">
        <v>21840</v>
      </c>
      <c r="D5" s="9">
        <f t="shared" ref="D5:D7" si="0">B5-C5</f>
        <v>63664</v>
      </c>
    </row>
    <row r="6" spans="1:4" ht="15.6" x14ac:dyDescent="0.3">
      <c r="A6" s="9" t="s">
        <v>91</v>
      </c>
      <c r="B6" s="9">
        <v>93042</v>
      </c>
      <c r="C6" s="9">
        <v>16744</v>
      </c>
      <c r="D6" s="9">
        <f t="shared" si="0"/>
        <v>76298</v>
      </c>
    </row>
    <row r="7" spans="1:4" ht="15.6" x14ac:dyDescent="0.3">
      <c r="A7" s="9" t="s">
        <v>39</v>
      </c>
      <c r="B7" s="9">
        <v>160862</v>
      </c>
      <c r="C7" s="9">
        <v>25275</v>
      </c>
      <c r="D7" s="9">
        <f t="shared" si="0"/>
        <v>135587</v>
      </c>
    </row>
    <row r="8" spans="1:4" ht="15.6" x14ac:dyDescent="0.3">
      <c r="A8" s="23"/>
      <c r="B8" s="33"/>
      <c r="C8" s="33"/>
      <c r="D8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5DE3-9E79-4D40-8960-939F6431D2DD}">
  <dimension ref="A1:G20"/>
  <sheetViews>
    <sheetView workbookViewId="0">
      <selection activeCell="D5" sqref="D5"/>
    </sheetView>
  </sheetViews>
  <sheetFormatPr defaultRowHeight="14.4" x14ac:dyDescent="0.3"/>
  <cols>
    <col min="1" max="1" width="18.21875" customWidth="1"/>
    <col min="2" max="2" width="14.77734375" customWidth="1"/>
    <col min="3" max="3" width="26.21875" customWidth="1"/>
    <col min="4" max="4" width="20.77734375" customWidth="1"/>
  </cols>
  <sheetData>
    <row r="1" spans="1:5" ht="17.399999999999999" x14ac:dyDescent="0.3">
      <c r="A1" s="12" t="s">
        <v>57</v>
      </c>
      <c r="B1" s="12"/>
      <c r="C1" s="2"/>
      <c r="D1" s="2"/>
      <c r="E1" s="2"/>
    </row>
    <row r="2" spans="1:5" ht="15.6" x14ac:dyDescent="0.3">
      <c r="A2" s="2"/>
      <c r="B2" s="2"/>
      <c r="C2" s="2"/>
      <c r="D2" s="2"/>
      <c r="E2" s="2"/>
    </row>
    <row r="3" spans="1:5" ht="15.6" x14ac:dyDescent="0.3">
      <c r="A3" s="11" t="s">
        <v>31</v>
      </c>
      <c r="B3" s="11" t="s">
        <v>46</v>
      </c>
      <c r="C3" s="11" t="s">
        <v>54</v>
      </c>
      <c r="D3" s="11" t="s">
        <v>56</v>
      </c>
      <c r="E3" s="2"/>
    </row>
    <row r="4" spans="1:5" ht="15.6" x14ac:dyDescent="0.3">
      <c r="A4" s="9" t="s">
        <v>47</v>
      </c>
      <c r="B4" s="34">
        <f>'Market Data'!D4</f>
        <v>47246.335999999996</v>
      </c>
      <c r="C4" s="35">
        <f>'Capital structure'!D4</f>
        <v>149048</v>
      </c>
      <c r="D4" s="36">
        <f>B4+C4</f>
        <v>196294.33600000001</v>
      </c>
      <c r="E4" s="2"/>
    </row>
    <row r="5" spans="1:5" ht="15.6" x14ac:dyDescent="0.3">
      <c r="A5" s="9" t="s">
        <v>48</v>
      </c>
      <c r="B5" s="34">
        <f>'Market Data'!D5</f>
        <v>45276.033600000002</v>
      </c>
      <c r="C5" s="35">
        <f>'Capital structure'!D5</f>
        <v>63664</v>
      </c>
      <c r="D5" s="36">
        <f t="shared" ref="D5:D7" si="0">B5+C5</f>
        <v>108940.0336</v>
      </c>
      <c r="E5" s="2"/>
    </row>
    <row r="6" spans="1:5" ht="15.6" x14ac:dyDescent="0.3">
      <c r="A6" s="9" t="s">
        <v>49</v>
      </c>
      <c r="B6" s="34">
        <f>'Market Data'!D6</f>
        <v>49241.345999999998</v>
      </c>
      <c r="C6" s="35">
        <f>'Capital structure'!D6</f>
        <v>76298</v>
      </c>
      <c r="D6" s="36">
        <f t="shared" si="0"/>
        <v>125539.34599999999</v>
      </c>
      <c r="E6" s="2"/>
    </row>
    <row r="7" spans="1:5" ht="15.6" x14ac:dyDescent="0.3">
      <c r="A7" s="9" t="s">
        <v>50</v>
      </c>
      <c r="B7" s="34">
        <f>'Market Data'!D7</f>
        <v>254.6824</v>
      </c>
      <c r="C7" s="35">
        <f>'Capital structure'!D7</f>
        <v>135587</v>
      </c>
      <c r="D7" s="36">
        <f t="shared" si="0"/>
        <v>135841.68239999999</v>
      </c>
      <c r="E7" s="2"/>
    </row>
    <row r="8" spans="1:5" x14ac:dyDescent="0.3">
      <c r="A8" s="16"/>
      <c r="B8" s="16"/>
      <c r="C8" s="16"/>
      <c r="D8" s="16"/>
    </row>
    <row r="20" spans="4:7" ht="15.6" x14ac:dyDescent="0.3">
      <c r="D20" s="9"/>
      <c r="E20" s="34"/>
      <c r="F20" s="35"/>
      <c r="G20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F393-0C43-4A68-88AE-2E836CD198A3}">
  <dimension ref="A1:M28"/>
  <sheetViews>
    <sheetView workbookViewId="0">
      <selection activeCell="D3" sqref="D3"/>
    </sheetView>
  </sheetViews>
  <sheetFormatPr defaultRowHeight="14.4" x14ac:dyDescent="0.3"/>
  <cols>
    <col min="1" max="1" width="18.33203125" customWidth="1"/>
    <col min="2" max="2" width="13.21875" customWidth="1"/>
    <col min="3" max="3" width="16" customWidth="1"/>
    <col min="4" max="4" width="13" customWidth="1"/>
  </cols>
  <sheetData>
    <row r="1" spans="1:13" ht="17.399999999999999" x14ac:dyDescent="0.3">
      <c r="A1" s="12" t="s">
        <v>67</v>
      </c>
      <c r="B1" s="12"/>
      <c r="C1" s="1"/>
      <c r="D1" s="1"/>
      <c r="E1" s="1"/>
    </row>
    <row r="2" spans="1:13" x14ac:dyDescent="0.3">
      <c r="A2" s="1"/>
      <c r="B2" s="1"/>
      <c r="C2" s="1"/>
      <c r="D2" s="1"/>
      <c r="E2" s="1"/>
    </row>
    <row r="3" spans="1:13" ht="15.6" x14ac:dyDescent="0.3">
      <c r="A3" s="11" t="s">
        <v>62</v>
      </c>
      <c r="B3" s="11" t="s">
        <v>58</v>
      </c>
      <c r="C3" s="11" t="s">
        <v>59</v>
      </c>
      <c r="D3" s="11" t="s">
        <v>60</v>
      </c>
      <c r="E3" s="20"/>
      <c r="I3" s="7"/>
      <c r="J3" s="7"/>
      <c r="K3" s="7"/>
      <c r="L3" s="7"/>
    </row>
    <row r="4" spans="1:13" ht="15.6" x14ac:dyDescent="0.3">
      <c r="A4" s="9" t="s">
        <v>63</v>
      </c>
      <c r="B4" s="49">
        <f>MIN('Trading mutliples'!B5:B7)</f>
        <v>0.72539039125953853</v>
      </c>
      <c r="C4" s="49">
        <f>MIN('Trading mutliples'!C5:C7)</f>
        <v>0.72539039125953853</v>
      </c>
      <c r="D4" s="49">
        <f>MIN('Trading mutliples'!D5:D7)</f>
        <v>0.72539039125953853</v>
      </c>
      <c r="E4" s="44"/>
      <c r="I4" s="8"/>
      <c r="J4" s="15"/>
      <c r="K4" s="15"/>
      <c r="L4" s="15"/>
    </row>
    <row r="5" spans="1:13" ht="15.6" x14ac:dyDescent="0.3">
      <c r="A5" s="9" t="s">
        <v>64</v>
      </c>
      <c r="B5" s="49">
        <f>MAX('Trading mutliples'!B5:B7)</f>
        <v>0.86225631550750714</v>
      </c>
      <c r="C5" s="49">
        <f>MAX('Trading mutliples'!C5:C7)</f>
        <v>5.8376817484305974</v>
      </c>
      <c r="D5" s="49">
        <f>MAX('Trading mutliples'!D5:D7)</f>
        <v>10.87485672210672</v>
      </c>
      <c r="E5" s="44"/>
      <c r="I5" s="8"/>
      <c r="J5" s="15"/>
      <c r="K5" s="15"/>
      <c r="L5" s="15"/>
    </row>
    <row r="6" spans="1:13" ht="15.6" x14ac:dyDescent="0.3">
      <c r="A6" s="9" t="s">
        <v>65</v>
      </c>
      <c r="B6" s="37">
        <f>GEOMEAN('Trading mutliples'!B5:B7)</f>
        <v>0.78219595593194358</v>
      </c>
      <c r="C6" s="37">
        <f>GEOMEAN('Trading mutliples'!C5:C7)</f>
        <v>2.8374341330963082</v>
      </c>
      <c r="D6" s="37">
        <f>GEOMEAN('Trading mutliples'!D5:D7)</f>
        <v>4.065943490580441</v>
      </c>
      <c r="E6" s="31"/>
      <c r="I6" s="8"/>
      <c r="J6" s="15"/>
      <c r="K6" s="15"/>
      <c r="L6" s="15"/>
    </row>
    <row r="7" spans="1:13" ht="15.6" x14ac:dyDescent="0.3">
      <c r="A7" s="9" t="s">
        <v>66</v>
      </c>
      <c r="B7" s="49">
        <f>MEDIAN('Trading mutliples'!B5:B7)</f>
        <v>0.76513578873437282</v>
      </c>
      <c r="C7" s="49">
        <f>MEDIAN('Trading mutliples'!C5:C7)</f>
        <v>5.3946733485193619</v>
      </c>
      <c r="D7" s="49">
        <f>MEDIAN('Trading mutliples'!D5:D7)</f>
        <v>8.5209628724631781</v>
      </c>
      <c r="E7" s="44"/>
      <c r="I7" s="8"/>
      <c r="J7" s="15"/>
      <c r="K7" s="15"/>
      <c r="L7" s="15"/>
    </row>
    <row r="8" spans="1:13" ht="17.399999999999999" x14ac:dyDescent="0.3">
      <c r="A8" s="1"/>
      <c r="B8" s="1"/>
      <c r="C8" s="1"/>
      <c r="D8" s="1"/>
      <c r="E8" s="1"/>
      <c r="I8" s="12"/>
      <c r="J8" s="12"/>
      <c r="K8" s="1"/>
      <c r="L8" s="1"/>
      <c r="M8" s="1"/>
    </row>
    <row r="9" spans="1:13" x14ac:dyDescent="0.3">
      <c r="A9" s="1"/>
      <c r="B9" s="1"/>
      <c r="C9" s="1"/>
      <c r="D9" s="1"/>
      <c r="E9" s="1"/>
      <c r="I9" s="1"/>
      <c r="J9" s="1"/>
      <c r="K9" s="1"/>
      <c r="L9" s="1"/>
      <c r="M9" s="1"/>
    </row>
    <row r="10" spans="1:13" ht="15.6" x14ac:dyDescent="0.3">
      <c r="I10" s="20"/>
      <c r="J10" s="20"/>
      <c r="K10" s="20"/>
      <c r="L10" s="20"/>
      <c r="M10" s="20"/>
    </row>
    <row r="11" spans="1:13" ht="15.6" x14ac:dyDescent="0.3">
      <c r="I11" s="23"/>
      <c r="J11" s="21"/>
      <c r="K11" s="21"/>
      <c r="L11" s="21"/>
      <c r="M11" s="21"/>
    </row>
    <row r="12" spans="1:13" ht="15.6" x14ac:dyDescent="0.3">
      <c r="I12" s="23"/>
      <c r="J12" s="21"/>
      <c r="K12" s="21"/>
      <c r="L12" s="21"/>
      <c r="M12" s="21"/>
    </row>
    <row r="13" spans="1:13" ht="15.6" x14ac:dyDescent="0.3">
      <c r="I13" s="23"/>
      <c r="J13" s="21"/>
      <c r="K13" s="21"/>
      <c r="L13" s="21"/>
      <c r="M13" s="21"/>
    </row>
    <row r="14" spans="1:13" ht="15.6" x14ac:dyDescent="0.3">
      <c r="I14" s="23"/>
      <c r="J14" s="21"/>
      <c r="K14" s="21"/>
      <c r="L14" s="21"/>
      <c r="M14" s="21"/>
    </row>
    <row r="15" spans="1:13" x14ac:dyDescent="0.3">
      <c r="I15" s="1"/>
      <c r="J15" s="1"/>
      <c r="K15" s="1"/>
      <c r="L15" s="1"/>
      <c r="M15" s="1"/>
    </row>
    <row r="21" spans="8:12" ht="17.399999999999999" x14ac:dyDescent="0.3">
      <c r="H21" s="12"/>
      <c r="I21" s="12"/>
      <c r="J21" s="1"/>
      <c r="K21" s="1"/>
      <c r="L21" s="1"/>
    </row>
    <row r="22" spans="8:12" x14ac:dyDescent="0.3">
      <c r="H22" s="1"/>
      <c r="I22" s="1"/>
      <c r="J22" s="1"/>
      <c r="K22" s="1"/>
      <c r="L22" s="1"/>
    </row>
    <row r="23" spans="8:12" ht="15.6" x14ac:dyDescent="0.3">
      <c r="H23" s="20"/>
      <c r="I23" s="20"/>
      <c r="J23" s="20"/>
      <c r="K23" s="20"/>
      <c r="L23" s="20"/>
    </row>
    <row r="24" spans="8:12" ht="15.6" x14ac:dyDescent="0.3">
      <c r="H24" s="23"/>
      <c r="I24" s="21"/>
      <c r="J24" s="21"/>
      <c r="K24" s="21"/>
      <c r="L24" s="21"/>
    </row>
    <row r="25" spans="8:12" ht="15.6" x14ac:dyDescent="0.3">
      <c r="H25" s="23"/>
      <c r="I25" s="21"/>
      <c r="J25" s="21"/>
      <c r="K25" s="21"/>
      <c r="L25" s="21"/>
    </row>
    <row r="26" spans="8:12" ht="15.6" x14ac:dyDescent="0.3">
      <c r="H26" s="23"/>
      <c r="I26" s="21"/>
      <c r="J26" s="21"/>
      <c r="K26" s="21"/>
      <c r="L26" s="21"/>
    </row>
    <row r="27" spans="8:12" ht="15.6" x14ac:dyDescent="0.3">
      <c r="H27" s="23"/>
      <c r="I27" s="21"/>
      <c r="J27" s="21"/>
      <c r="K27" s="21"/>
      <c r="L27" s="21"/>
    </row>
    <row r="28" spans="8:12" x14ac:dyDescent="0.3">
      <c r="H28" s="1"/>
      <c r="I28" s="1"/>
      <c r="J28" s="1"/>
      <c r="K28" s="1"/>
      <c r="L28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E672-B025-475A-8B3D-0D50A4F7CAC9}">
  <dimension ref="A1:K25"/>
  <sheetViews>
    <sheetView workbookViewId="0">
      <selection activeCell="C8" sqref="C8"/>
    </sheetView>
  </sheetViews>
  <sheetFormatPr defaultRowHeight="14.4" x14ac:dyDescent="0.3"/>
  <cols>
    <col min="1" max="1" width="16" customWidth="1"/>
    <col min="2" max="2" width="13.44140625" customWidth="1"/>
    <col min="3" max="3" width="13" customWidth="1"/>
    <col min="4" max="4" width="14.21875" customWidth="1"/>
    <col min="5" max="5" width="12.6640625" bestFit="1" customWidth="1"/>
  </cols>
  <sheetData>
    <row r="1" spans="1:5" ht="17.399999999999999" x14ac:dyDescent="0.3">
      <c r="A1" s="12" t="s">
        <v>61</v>
      </c>
      <c r="B1" s="24"/>
      <c r="C1" s="1"/>
      <c r="D1" s="1"/>
      <c r="E1" s="1"/>
    </row>
    <row r="2" spans="1:5" x14ac:dyDescent="0.3">
      <c r="A2" s="1"/>
      <c r="B2" s="1"/>
      <c r="C2" s="1"/>
      <c r="D2" s="1"/>
      <c r="E2" s="1"/>
    </row>
    <row r="3" spans="1:5" ht="15.6" x14ac:dyDescent="0.3">
      <c r="A3" s="11" t="s">
        <v>31</v>
      </c>
      <c r="B3" s="11" t="s">
        <v>58</v>
      </c>
      <c r="C3" s="11" t="s">
        <v>59</v>
      </c>
      <c r="D3" s="11" t="s">
        <v>60</v>
      </c>
      <c r="E3" s="20"/>
    </row>
    <row r="4" spans="1:5" ht="15.6" x14ac:dyDescent="0.3">
      <c r="A4" s="36" t="s">
        <v>47</v>
      </c>
      <c r="B4" s="48">
        <f>'EV calculation'!D4/'Financial performance'!B7</f>
        <v>0.60462254201370069</v>
      </c>
      <c r="C4" s="36">
        <f>'EV calculation'!D4/'Financial performance'!C7</f>
        <v>4.1238305882352941</v>
      </c>
      <c r="D4" s="36">
        <f>'EV calculation'!D4/'Financial performance'!D7</f>
        <v>10.298758447009444</v>
      </c>
      <c r="E4" s="32"/>
    </row>
    <row r="5" spans="1:5" ht="15.6" x14ac:dyDescent="0.3">
      <c r="A5" s="36" t="s">
        <v>48</v>
      </c>
      <c r="B5" s="48">
        <f>'EV calculation'!D5/'Financial performance'!B21</f>
        <v>0.76513578873437282</v>
      </c>
      <c r="C5" s="36">
        <f>'EV calculation'!D5/'Financial performance'!C21</f>
        <v>5.3946733485193619</v>
      </c>
      <c r="D5" s="36">
        <f>'EV calculation'!D6/'Financial performance'!D21</f>
        <v>10.87485672210672</v>
      </c>
      <c r="E5" s="32"/>
    </row>
    <row r="6" spans="1:5" ht="15.6" x14ac:dyDescent="0.3">
      <c r="A6" s="36" t="s">
        <v>49</v>
      </c>
      <c r="B6" s="48">
        <f>'EV calculation'!D6/'Financial performance'!B28</f>
        <v>0.86225631550750714</v>
      </c>
      <c r="C6" s="36">
        <f>'EV calculation'!D6/'Financial performance'!C28</f>
        <v>5.8376817484305974</v>
      </c>
      <c r="D6" s="36">
        <f>'EV calculation'!D6/'Financial performance'!D28</f>
        <v>8.5209628724631781</v>
      </c>
      <c r="E6" s="32"/>
    </row>
    <row r="7" spans="1:5" ht="15.6" x14ac:dyDescent="0.3">
      <c r="A7" s="36" t="s">
        <v>50</v>
      </c>
      <c r="B7" s="48">
        <f>'EV calculation'!D7/'Financial performance'!B35</f>
        <v>0.72539039125953853</v>
      </c>
      <c r="C7" s="36">
        <f>'EV calculation'!D7/'Financial performance'!B35</f>
        <v>0.72539039125953853</v>
      </c>
      <c r="D7" s="36">
        <f>'EV calculation'!D7/'Financial performance'!B35</f>
        <v>0.72539039125953853</v>
      </c>
      <c r="E7" s="32"/>
    </row>
    <row r="8" spans="1:5" x14ac:dyDescent="0.3">
      <c r="A8" s="1"/>
      <c r="B8" s="1"/>
      <c r="C8" s="1"/>
      <c r="D8" s="1"/>
      <c r="E8" s="1"/>
    </row>
    <row r="17" spans="7:11" ht="17.399999999999999" x14ac:dyDescent="0.3">
      <c r="G17" s="12"/>
      <c r="H17" s="24"/>
      <c r="I17" s="1"/>
      <c r="J17" s="1"/>
      <c r="K17" s="1"/>
    </row>
    <row r="18" spans="7:11" x14ac:dyDescent="0.3">
      <c r="G18" s="1"/>
      <c r="H18" s="1"/>
      <c r="I18" s="1"/>
      <c r="J18" s="1"/>
      <c r="K18" s="1"/>
    </row>
    <row r="19" spans="7:11" ht="15.6" x14ac:dyDescent="0.3">
      <c r="G19" s="20"/>
      <c r="H19" s="20"/>
      <c r="I19" s="20"/>
      <c r="J19" s="20"/>
      <c r="K19" s="20"/>
    </row>
    <row r="20" spans="7:11" ht="15.6" x14ac:dyDescent="0.3">
      <c r="G20" s="32"/>
      <c r="H20" s="43"/>
      <c r="I20" s="32"/>
      <c r="J20" s="32"/>
      <c r="K20" s="32"/>
    </row>
    <row r="21" spans="7:11" ht="15.6" x14ac:dyDescent="0.3">
      <c r="G21" s="32"/>
      <c r="H21" s="43"/>
      <c r="I21" s="32"/>
      <c r="J21" s="32"/>
      <c r="K21" s="32"/>
    </row>
    <row r="22" spans="7:11" ht="15.6" x14ac:dyDescent="0.3">
      <c r="G22" s="32"/>
      <c r="H22" s="43"/>
      <c r="I22" s="32"/>
      <c r="J22" s="32"/>
      <c r="K22" s="32"/>
    </row>
    <row r="23" spans="7:11" ht="15.6" x14ac:dyDescent="0.3">
      <c r="G23" s="32"/>
      <c r="H23" s="43"/>
      <c r="I23" s="32"/>
      <c r="J23" s="32"/>
      <c r="K23" s="32"/>
    </row>
    <row r="24" spans="7:11" ht="15.6" x14ac:dyDescent="0.3">
      <c r="G24" s="32"/>
      <c r="H24" s="43"/>
      <c r="I24" s="32"/>
      <c r="J24" s="32"/>
      <c r="K24" s="32"/>
    </row>
    <row r="25" spans="7:11" x14ac:dyDescent="0.3">
      <c r="G25" s="1"/>
      <c r="H25" s="1"/>
      <c r="I25" s="1"/>
      <c r="J25" s="1"/>
      <c r="K2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3F3B-F0E8-4968-9E76-2BEABC9ABACF}">
  <dimension ref="A1:I25"/>
  <sheetViews>
    <sheetView workbookViewId="0">
      <selection activeCell="K13" sqref="K13"/>
    </sheetView>
  </sheetViews>
  <sheetFormatPr defaultRowHeight="14.4" x14ac:dyDescent="0.3"/>
  <cols>
    <col min="1" max="1" width="17.21875" customWidth="1"/>
    <col min="2" max="2" width="13.109375" customWidth="1"/>
  </cols>
  <sheetData>
    <row r="1" spans="1:3" ht="17.399999999999999" x14ac:dyDescent="0.3">
      <c r="A1" s="12" t="s">
        <v>99</v>
      </c>
      <c r="B1" s="12"/>
      <c r="C1" s="12"/>
    </row>
    <row r="3" spans="1:3" ht="15.6" x14ac:dyDescent="0.3">
      <c r="A3" s="11" t="s">
        <v>31</v>
      </c>
      <c r="B3" s="11" t="s">
        <v>59</v>
      </c>
    </row>
    <row r="4" spans="1:3" ht="15.6" x14ac:dyDescent="0.3">
      <c r="A4" s="9" t="s">
        <v>47</v>
      </c>
      <c r="B4" s="9">
        <v>4.0999999999999996</v>
      </c>
    </row>
    <row r="5" spans="1:3" ht="15.6" x14ac:dyDescent="0.3">
      <c r="A5" s="9" t="s">
        <v>49</v>
      </c>
      <c r="B5" s="9">
        <v>5.8</v>
      </c>
    </row>
    <row r="6" spans="1:3" ht="15.6" x14ac:dyDescent="0.3">
      <c r="A6" s="9" t="s">
        <v>48</v>
      </c>
      <c r="B6" s="65">
        <v>6</v>
      </c>
    </row>
    <row r="7" spans="1:3" ht="15.6" x14ac:dyDescent="0.3">
      <c r="A7" s="9" t="s">
        <v>50</v>
      </c>
      <c r="B7" s="9">
        <v>6.8</v>
      </c>
    </row>
    <row r="8" spans="1:3" ht="15.6" x14ac:dyDescent="0.3">
      <c r="A8" s="2"/>
      <c r="B8" s="2"/>
    </row>
    <row r="24" spans="1:9" ht="15.6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ht="15.6" x14ac:dyDescent="0.3">
      <c r="A25" s="2" t="s">
        <v>121</v>
      </c>
      <c r="B25" s="2"/>
      <c r="C25" s="2"/>
      <c r="D25" s="2"/>
      <c r="E25" s="2"/>
      <c r="F25" s="2"/>
      <c r="G25" s="2"/>
      <c r="H25" s="2"/>
      <c r="I25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2915-878A-4010-869C-9B579A2A9517}">
  <dimension ref="A1:H27"/>
  <sheetViews>
    <sheetView workbookViewId="0">
      <selection activeCell="F12" sqref="F12"/>
    </sheetView>
  </sheetViews>
  <sheetFormatPr defaultRowHeight="14.4" x14ac:dyDescent="0.3"/>
  <cols>
    <col min="1" max="1" width="31.77734375" customWidth="1"/>
    <col min="2" max="2" width="12.33203125" customWidth="1"/>
  </cols>
  <sheetData>
    <row r="1" spans="1:3" ht="18" x14ac:dyDescent="0.3">
      <c r="A1" s="27" t="s">
        <v>74</v>
      </c>
    </row>
    <row r="3" spans="1:3" ht="17.399999999999999" x14ac:dyDescent="0.3">
      <c r="A3" s="46" t="s">
        <v>9</v>
      </c>
      <c r="B3" s="46" t="s">
        <v>10</v>
      </c>
      <c r="C3" s="25"/>
    </row>
    <row r="4" spans="1:3" ht="15.6" x14ac:dyDescent="0.3">
      <c r="A4" s="9" t="s">
        <v>56</v>
      </c>
      <c r="B4" s="35">
        <v>256786</v>
      </c>
      <c r="C4" s="25"/>
    </row>
    <row r="5" spans="1:3" ht="15.6" x14ac:dyDescent="0.3">
      <c r="A5" s="9" t="s">
        <v>54</v>
      </c>
      <c r="B5" s="35">
        <v>149048</v>
      </c>
      <c r="C5" s="25"/>
    </row>
    <row r="6" spans="1:3" ht="15.6" x14ac:dyDescent="0.3">
      <c r="A6" s="9" t="s">
        <v>72</v>
      </c>
      <c r="B6" s="35">
        <v>107738</v>
      </c>
      <c r="C6" s="25"/>
    </row>
    <row r="7" spans="1:3" ht="15.6" x14ac:dyDescent="0.3">
      <c r="A7" s="9" t="s">
        <v>45</v>
      </c>
      <c r="B7" s="9">
        <v>509.12</v>
      </c>
      <c r="C7" s="25"/>
    </row>
    <row r="8" spans="1:3" ht="15.6" x14ac:dyDescent="0.3">
      <c r="A8" s="9" t="s">
        <v>73</v>
      </c>
      <c r="B8" s="9">
        <v>211.6</v>
      </c>
      <c r="C8" s="25"/>
    </row>
    <row r="9" spans="1:3" x14ac:dyDescent="0.3">
      <c r="A9" s="16"/>
      <c r="B9" s="16"/>
    </row>
    <row r="20" spans="7:8" ht="18" x14ac:dyDescent="0.3">
      <c r="G20" s="27"/>
    </row>
    <row r="22" spans="7:8" ht="15.6" x14ac:dyDescent="0.3">
      <c r="G22" s="19"/>
      <c r="H22" s="19"/>
    </row>
    <row r="23" spans="7:8" ht="15.6" x14ac:dyDescent="0.3">
      <c r="G23" s="22"/>
      <c r="H23" s="22"/>
    </row>
    <row r="24" spans="7:8" ht="15.6" x14ac:dyDescent="0.3">
      <c r="G24" s="22"/>
      <c r="H24" s="22"/>
    </row>
    <row r="25" spans="7:8" ht="15.6" x14ac:dyDescent="0.3">
      <c r="G25" s="22"/>
      <c r="H25" s="22"/>
    </row>
    <row r="26" spans="7:8" ht="15.6" x14ac:dyDescent="0.3">
      <c r="G26" s="22"/>
      <c r="H26" s="22"/>
    </row>
    <row r="27" spans="7:8" ht="15.6" x14ac:dyDescent="0.3">
      <c r="G27" s="22"/>
      <c r="H27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D84E-E2D8-4E4B-B528-A5239142B3F2}">
  <dimension ref="A1:M20"/>
  <sheetViews>
    <sheetView workbookViewId="0">
      <selection activeCell="E15" sqref="E15"/>
    </sheetView>
  </sheetViews>
  <sheetFormatPr defaultRowHeight="14.4" x14ac:dyDescent="0.3"/>
  <cols>
    <col min="1" max="1" width="13.5546875" customWidth="1"/>
    <col min="2" max="2" width="12.5546875" customWidth="1"/>
    <col min="3" max="3" width="12.109375" customWidth="1"/>
    <col min="4" max="4" width="13.109375" customWidth="1"/>
  </cols>
  <sheetData>
    <row r="1" spans="1:13" ht="17.399999999999999" x14ac:dyDescent="0.3">
      <c r="A1" s="12" t="s">
        <v>71</v>
      </c>
      <c r="B1" s="12"/>
      <c r="C1" s="1"/>
      <c r="D1" s="1"/>
    </row>
    <row r="2" spans="1:13" x14ac:dyDescent="0.3">
      <c r="A2" s="1"/>
      <c r="B2" s="1"/>
      <c r="C2" s="1"/>
      <c r="D2" s="1"/>
      <c r="J2" s="7"/>
      <c r="K2" s="7"/>
      <c r="L2" s="7"/>
      <c r="M2" s="7"/>
    </row>
    <row r="3" spans="1:13" ht="15.6" x14ac:dyDescent="0.3">
      <c r="A3" s="11" t="s">
        <v>68</v>
      </c>
      <c r="B3" s="11" t="s">
        <v>69</v>
      </c>
      <c r="C3" s="11" t="s">
        <v>62</v>
      </c>
      <c r="D3" s="11" t="s">
        <v>70</v>
      </c>
      <c r="J3" s="8"/>
      <c r="K3" s="8"/>
      <c r="L3" s="29"/>
      <c r="M3" s="29"/>
    </row>
    <row r="4" spans="1:13" ht="15.6" x14ac:dyDescent="0.3">
      <c r="A4" s="9" t="s">
        <v>58</v>
      </c>
      <c r="B4" s="48">
        <v>0.73</v>
      </c>
      <c r="C4" s="35">
        <f>'Financial performance'!B7</f>
        <v>324656</v>
      </c>
      <c r="D4" s="36">
        <f>B4*C4</f>
        <v>236998.88</v>
      </c>
      <c r="J4" s="8"/>
      <c r="K4" s="8"/>
      <c r="L4" s="29"/>
      <c r="M4" s="29"/>
    </row>
    <row r="5" spans="1:13" ht="15.6" x14ac:dyDescent="0.3">
      <c r="A5" s="9" t="s">
        <v>59</v>
      </c>
      <c r="B5" s="48">
        <f>'Peer mutliples'!C7</f>
        <v>5.3946733485193619</v>
      </c>
      <c r="C5" s="35">
        <f>'Financial performance'!C7</f>
        <v>47600</v>
      </c>
      <c r="D5" s="36">
        <f t="shared" ref="D5:D6" si="0">B5*C5</f>
        <v>256786.45138952162</v>
      </c>
      <c r="J5" s="8"/>
      <c r="K5" s="8"/>
      <c r="L5" s="29"/>
      <c r="M5" s="29"/>
    </row>
    <row r="6" spans="1:13" ht="15.6" x14ac:dyDescent="0.3">
      <c r="A6" s="9" t="s">
        <v>60</v>
      </c>
      <c r="B6" s="48">
        <f>'Peer mutliples'!D7</f>
        <v>8.5209628724631781</v>
      </c>
      <c r="C6" s="35">
        <f>'Financial performance'!D7</f>
        <v>19060</v>
      </c>
      <c r="D6" s="36">
        <f t="shared" si="0"/>
        <v>162409.55234914817</v>
      </c>
    </row>
    <row r="7" spans="1:13" ht="15.6" x14ac:dyDescent="0.3">
      <c r="A7" s="26"/>
      <c r="B7" s="26"/>
      <c r="C7" s="26"/>
      <c r="D7" s="45"/>
    </row>
    <row r="17" spans="8:11" x14ac:dyDescent="0.3">
      <c r="H17" s="7"/>
      <c r="I17" s="7"/>
      <c r="J17" s="7"/>
      <c r="K17" s="7"/>
    </row>
    <row r="18" spans="8:11" x14ac:dyDescent="0.3">
      <c r="H18" s="8"/>
      <c r="I18" s="8"/>
      <c r="J18" s="29"/>
      <c r="K18" s="29"/>
    </row>
    <row r="19" spans="8:11" x14ac:dyDescent="0.3">
      <c r="H19" s="8"/>
      <c r="I19" s="8"/>
      <c r="J19" s="29"/>
      <c r="K19" s="29"/>
    </row>
    <row r="20" spans="8:11" x14ac:dyDescent="0.3">
      <c r="H20" s="8"/>
      <c r="I20" s="8"/>
      <c r="J20" s="29"/>
      <c r="K20" s="2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3F90-5340-4CE4-A71C-59906B6367D7}">
  <dimension ref="A1:I20"/>
  <sheetViews>
    <sheetView tabSelected="1" workbookViewId="0">
      <selection activeCell="J19" sqref="J19"/>
    </sheetView>
  </sheetViews>
  <sheetFormatPr defaultRowHeight="14.4" x14ac:dyDescent="0.3"/>
  <cols>
    <col min="1" max="1" width="15.33203125" customWidth="1"/>
    <col min="2" max="2" width="13.33203125" customWidth="1"/>
    <col min="3" max="3" width="9.5546875" bestFit="1" customWidth="1"/>
    <col min="8" max="8" width="9.5546875" bestFit="1" customWidth="1"/>
  </cols>
  <sheetData>
    <row r="1" spans="1:9" ht="18" x14ac:dyDescent="0.3">
      <c r="A1" s="27" t="s">
        <v>76</v>
      </c>
    </row>
    <row r="3" spans="1:9" ht="15.6" x14ac:dyDescent="0.3">
      <c r="A3" s="11" t="s">
        <v>68</v>
      </c>
      <c r="B3" s="11" t="s">
        <v>75</v>
      </c>
      <c r="C3" s="16"/>
    </row>
    <row r="4" spans="1:9" ht="15.6" x14ac:dyDescent="0.3">
      <c r="A4" s="9" t="s">
        <v>58</v>
      </c>
      <c r="B4" s="36">
        <f>C4/'Equity value'!B7</f>
        <v>172.75078566939032</v>
      </c>
      <c r="C4" s="60">
        <f>'Implied valuation'!D4-'EV calculation'!C4</f>
        <v>87950.88</v>
      </c>
    </row>
    <row r="5" spans="1:9" ht="15.6" x14ac:dyDescent="0.3">
      <c r="A5" s="9" t="s">
        <v>59</v>
      </c>
      <c r="B5" s="36">
        <f>C5/'Equity value'!B7</f>
        <v>211.61700854321501</v>
      </c>
      <c r="C5" s="59">
        <f>'Implied valuation'!D5-'EV calculation'!C4</f>
        <v>107738.45138952162</v>
      </c>
    </row>
    <row r="6" spans="1:9" ht="15.6" x14ac:dyDescent="0.3">
      <c r="A6" s="9" t="s">
        <v>60</v>
      </c>
      <c r="B6" s="36">
        <f>C6/'Equity value'!B7</f>
        <v>26.244406719728499</v>
      </c>
      <c r="C6" s="59">
        <f>'Implied valuation'!D6-'EV calculation'!C4</f>
        <v>13361.552349148173</v>
      </c>
    </row>
    <row r="7" spans="1:9" x14ac:dyDescent="0.3">
      <c r="A7" s="39"/>
      <c r="B7" s="39"/>
    </row>
    <row r="10" spans="1:9" x14ac:dyDescent="0.3">
      <c r="E10" s="47"/>
      <c r="H10" s="47"/>
    </row>
    <row r="16" spans="1:9" x14ac:dyDescent="0.3">
      <c r="I16" s="47"/>
    </row>
    <row r="17" spans="5:7" x14ac:dyDescent="0.3">
      <c r="E17" s="47"/>
    </row>
    <row r="20" spans="5:7" x14ac:dyDescent="0.3">
      <c r="G20" s="47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F524-53DA-434D-A81B-1378DD56B429}">
  <dimension ref="A1:M22"/>
  <sheetViews>
    <sheetView workbookViewId="0">
      <selection activeCell="D8" sqref="D8"/>
    </sheetView>
  </sheetViews>
  <sheetFormatPr defaultRowHeight="14.4" x14ac:dyDescent="0.3"/>
  <cols>
    <col min="1" max="1" width="27.77734375" customWidth="1"/>
  </cols>
  <sheetData>
    <row r="1" spans="1:13" ht="17.399999999999999" x14ac:dyDescent="0.3">
      <c r="A1" s="12" t="s">
        <v>81</v>
      </c>
      <c r="B1" s="1"/>
      <c r="C1" s="1"/>
      <c r="D1" s="1"/>
      <c r="E1" s="1"/>
    </row>
    <row r="2" spans="1:13" x14ac:dyDescent="0.3">
      <c r="A2" s="1"/>
      <c r="B2" s="1"/>
      <c r="C2" s="1"/>
      <c r="D2" s="1"/>
      <c r="E2" s="1"/>
    </row>
    <row r="3" spans="1:13" ht="15.6" x14ac:dyDescent="0.3">
      <c r="A3" s="11" t="s">
        <v>77</v>
      </c>
      <c r="B3" s="11" t="s">
        <v>78</v>
      </c>
      <c r="C3" s="11" t="s">
        <v>79</v>
      </c>
      <c r="D3" s="11" t="s">
        <v>80</v>
      </c>
      <c r="E3" s="11"/>
    </row>
    <row r="4" spans="1:13" ht="15.6" x14ac:dyDescent="0.3">
      <c r="A4" s="9" t="s">
        <v>98</v>
      </c>
      <c r="B4" s="9">
        <v>174.7</v>
      </c>
      <c r="C4" s="9">
        <v>268.2</v>
      </c>
      <c r="D4" s="9">
        <v>361.7</v>
      </c>
      <c r="E4" s="9"/>
    </row>
    <row r="5" spans="1:13" ht="15.6" x14ac:dyDescent="0.3">
      <c r="A5" s="28"/>
      <c r="B5" s="28"/>
      <c r="C5" s="28"/>
      <c r="D5" s="28"/>
      <c r="E5" s="28"/>
    </row>
    <row r="11" spans="1:13" ht="17.399999999999999" x14ac:dyDescent="0.3">
      <c r="I11" s="12"/>
      <c r="J11" s="1"/>
      <c r="K11" s="1"/>
      <c r="L11" s="1"/>
      <c r="M11" s="1"/>
    </row>
    <row r="12" spans="1:13" x14ac:dyDescent="0.3">
      <c r="I12" s="1"/>
      <c r="J12" s="1"/>
      <c r="K12" s="1"/>
      <c r="L12" s="1"/>
      <c r="M12" s="1"/>
    </row>
    <row r="13" spans="1:13" x14ac:dyDescent="0.3">
      <c r="I13" s="1"/>
      <c r="J13" s="1"/>
      <c r="K13" s="1"/>
      <c r="L13" s="1"/>
      <c r="M13" s="1"/>
    </row>
    <row r="14" spans="1:13" ht="15.6" x14ac:dyDescent="0.3">
      <c r="I14" s="11"/>
      <c r="J14" s="11"/>
      <c r="K14" s="11"/>
      <c r="L14" s="11"/>
      <c r="M14" s="11"/>
    </row>
    <row r="15" spans="1:13" ht="15.6" x14ac:dyDescent="0.3">
      <c r="I15" s="28"/>
      <c r="J15" s="28"/>
      <c r="K15" s="28"/>
      <c r="L15" s="28"/>
      <c r="M15" s="28"/>
    </row>
    <row r="18" spans="4:8" ht="17.399999999999999" x14ac:dyDescent="0.3">
      <c r="D18" s="12"/>
      <c r="E18" s="1"/>
      <c r="F18" s="1"/>
      <c r="G18" s="1"/>
      <c r="H18" s="1"/>
    </row>
    <row r="19" spans="4:8" x14ac:dyDescent="0.3">
      <c r="D19" s="1"/>
      <c r="E19" s="1"/>
      <c r="F19" s="1"/>
      <c r="G19" s="1"/>
      <c r="H19" s="1"/>
    </row>
    <row r="20" spans="4:8" x14ac:dyDescent="0.3">
      <c r="D20" s="1"/>
      <c r="E20" s="1"/>
      <c r="F20" s="1"/>
      <c r="G20" s="1"/>
      <c r="H20" s="1"/>
    </row>
    <row r="21" spans="4:8" ht="15.6" x14ac:dyDescent="0.3">
      <c r="D21" s="11"/>
      <c r="E21" s="11"/>
      <c r="F21" s="11"/>
      <c r="G21" s="11"/>
      <c r="H21" s="11"/>
    </row>
    <row r="22" spans="4:8" ht="15.6" x14ac:dyDescent="0.3">
      <c r="D22" s="28"/>
      <c r="E22" s="28"/>
      <c r="F22" s="28"/>
      <c r="G22" s="28"/>
      <c r="H22" s="2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1ACB-549D-4063-AB7C-37F2825D324D}">
  <dimension ref="A1:V31"/>
  <sheetViews>
    <sheetView topLeftCell="A25" workbookViewId="0">
      <selection activeCell="Q22" sqref="Q22"/>
    </sheetView>
  </sheetViews>
  <sheetFormatPr defaultRowHeight="14.4" x14ac:dyDescent="0.3"/>
  <sheetData>
    <row r="1" spans="1:22" ht="17.399999999999999" x14ac:dyDescent="0.3">
      <c r="A1" s="12" t="s">
        <v>100</v>
      </c>
      <c r="B1" s="12"/>
      <c r="C1" s="24"/>
    </row>
    <row r="3" spans="1:22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6" x14ac:dyDescent="0.3">
      <c r="A4" s="2" t="s">
        <v>109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6" x14ac:dyDescent="0.3">
      <c r="A5" s="2" t="s">
        <v>110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6" x14ac:dyDescent="0.3">
      <c r="A6" s="2" t="s">
        <v>111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6" x14ac:dyDescent="0.3">
      <c r="A7" s="2" t="s">
        <v>112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6" x14ac:dyDescent="0.3">
      <c r="A8" s="6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5.6" x14ac:dyDescent="0.3">
      <c r="A9" s="2" t="s">
        <v>113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5.6" x14ac:dyDescent="0.3">
      <c r="A10" s="54"/>
      <c r="B10" s="54"/>
      <c r="C10" s="5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5.6" x14ac:dyDescent="0.3">
      <c r="A12" s="64" t="s">
        <v>125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5.6" x14ac:dyDescent="0.3">
      <c r="A13" s="1"/>
      <c r="B13" s="54"/>
      <c r="C13" s="5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5.6" x14ac:dyDescent="0.3">
      <c r="A14" s="1" t="s">
        <v>132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5.6" x14ac:dyDescent="0.3">
      <c r="A15" s="1" t="s">
        <v>126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5.6" x14ac:dyDescent="0.3">
      <c r="A16" s="1"/>
      <c r="B16" s="54"/>
      <c r="C16" s="5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5.6" x14ac:dyDescent="0.3">
      <c r="A17" s="1" t="s">
        <v>133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5.6" x14ac:dyDescent="0.3">
      <c r="A18" s="1" t="s">
        <v>127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5.6" x14ac:dyDescent="0.3">
      <c r="A19" s="1"/>
      <c r="B19" s="54"/>
      <c r="C19" s="5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5.6" x14ac:dyDescent="0.3">
      <c r="A20" s="1" t="s">
        <v>134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6" x14ac:dyDescent="0.3">
      <c r="A21" s="1" t="s">
        <v>128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5.6" x14ac:dyDescent="0.3">
      <c r="A22" s="1"/>
      <c r="B22" s="54"/>
      <c r="C22" s="5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6" x14ac:dyDescent="0.3">
      <c r="A23" s="1" t="s">
        <v>135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6" x14ac:dyDescent="0.3">
      <c r="A24" s="1" t="s">
        <v>129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22" x14ac:dyDescent="0.3">
      <c r="A26" s="1" t="s">
        <v>136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2" x14ac:dyDescent="0.3">
      <c r="A27" s="1" t="s">
        <v>130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2" x14ac:dyDescent="0.3">
      <c r="A29" s="1" t="s">
        <v>137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2" x14ac:dyDescent="0.3">
      <c r="A30" s="1" t="s">
        <v>131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 page</vt:lpstr>
      <vt:lpstr>Data source</vt:lpstr>
      <vt:lpstr>Investment summary</vt:lpstr>
      <vt:lpstr>Company overview</vt:lpstr>
      <vt:lpstr>Comparable company selection</vt:lpstr>
      <vt:lpstr>Financial performance</vt:lpstr>
      <vt:lpstr>Market Data</vt:lpstr>
      <vt:lpstr>Capital structure</vt:lpstr>
      <vt:lpstr>EV calculation</vt:lpstr>
      <vt:lpstr>Peer mutliples</vt:lpstr>
      <vt:lpstr>Trading mutliples</vt:lpstr>
      <vt:lpstr>MUTLIPLES CAHRT</vt:lpstr>
      <vt:lpstr>Equity value</vt:lpstr>
      <vt:lpstr>Implied valuation</vt:lpstr>
      <vt:lpstr>Valuation Range</vt:lpstr>
      <vt:lpstr>Sensitivity Analysis</vt:lpstr>
      <vt:lpstr>INVESTMENT 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mudangulasunny@outlook.com</dc:creator>
  <cp:lastModifiedBy>mudangulasunny@outlook.com</cp:lastModifiedBy>
  <dcterms:created xsi:type="dcterms:W3CDTF">2026-03-05T18:33:06Z</dcterms:created>
  <dcterms:modified xsi:type="dcterms:W3CDTF">2026-03-26T04:43:57Z</dcterms:modified>
</cp:coreProperties>
</file>